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E9D96D-1C35-42BD-B4ED-C85C80D40392}" xr6:coauthVersionLast="47" xr6:coauthVersionMax="47" xr10:uidLastSave="{00000000-0000-0000-0000-000000000000}"/>
  <bookViews>
    <workbookView xWindow="-120" yWindow="-120" windowWidth="20640" windowHeight="11040" tabRatio="772" xr2:uid="{00000000-000D-0000-FFFF-FFFF00000000}"/>
  </bookViews>
  <sheets>
    <sheet name="Summary" sheetId="1" r:id="rId1"/>
    <sheet name="Extra Bills" sheetId="2" r:id="rId2"/>
    <sheet name="Inside Meter " sheetId="3" r:id="rId3"/>
    <sheet name="OutSide Meter" sheetId="4" r:id="rId4"/>
    <sheet name="Bisleri_Consu" sheetId="6" r:id="rId5"/>
    <sheet name="Medical_Items" sheetId="7" r:id="rId6"/>
    <sheet name="Stationery" sheetId="8" r:id="rId7"/>
    <sheet name="HK Material" sheetId="9" r:id="rId8"/>
    <sheet name="Food Consu" sheetId="10" r:id="rId9"/>
    <sheet name="Veebha Tea&amp;Coffee" sheetId="11" r:id="rId10"/>
    <sheet name="Sumant Tea&amp;Coffee" sheetId="12" r:id="rId11"/>
    <sheet name="Toner Consu" sheetId="13" r:id="rId12"/>
    <sheet name="Water" sheetId="14" r:id="rId13"/>
    <sheet name="Gallant SG" sheetId="15" r:id="rId14"/>
    <sheet name="OOPL SG " sheetId="16" r:id="rId15"/>
    <sheet name="Imperial HK" sheetId="17" r:id="rId16"/>
    <sheet name="New Meter" sheetId="18" state="hidden" r:id="rId17"/>
  </sheets>
  <externalReferences>
    <externalReference r:id="rId18"/>
  </externalReferences>
  <definedNames>
    <definedName name="_xlnm._FilterDatabase" localSheetId="7" hidden="1">'HK Material'!$A$5:$AME$81</definedName>
    <definedName name="_xlnm._FilterDatabase" localSheetId="15" hidden="1">'Imperial HK'!$A$1:$AS$23</definedName>
    <definedName name="_xlnm._FilterDatabase" localSheetId="6" hidden="1">Stationery!$B$5:$AV$5</definedName>
    <definedName name="_xlnm._FilterDatabase" localSheetId="12" hidden="1">Water!#REF!</definedName>
    <definedName name="Attendance" localSheetId="15">#REF!</definedName>
    <definedName name="Attendance">'[1]HK Attendance Sheet Aug''2020'!#REF!</definedName>
    <definedName name="dd" localSheetId="7">#REF!</definedName>
    <definedName name="dd" localSheetId="5">#REF!</definedName>
    <definedName name="dd" localSheetId="10">#REF!</definedName>
    <definedName name="dd" localSheetId="11">#REF!</definedName>
    <definedName name="dd" localSheetId="9">#REF!</definedName>
    <definedName name="dd">#REF!</definedName>
    <definedName name="Designation" localSheetId="4">#REF!</definedName>
    <definedName name="Designation" localSheetId="1">#REF!</definedName>
    <definedName name="Designation" localSheetId="8">#REF!</definedName>
    <definedName name="Designation" localSheetId="7">#REF!</definedName>
    <definedName name="Designation" localSheetId="15">#REF!</definedName>
    <definedName name="Designation" localSheetId="5">#REF!</definedName>
    <definedName name="Designation" localSheetId="6">#REF!</definedName>
    <definedName name="Designation" localSheetId="10">#REF!</definedName>
    <definedName name="Designation" localSheetId="0">#REF!</definedName>
    <definedName name="Designation" localSheetId="11">#REF!</definedName>
    <definedName name="Designation" localSheetId="9">#REF!</definedName>
    <definedName name="Designation" localSheetId="12">#REF!</definedName>
    <definedName name="Designation">#REF!</definedName>
    <definedName name="ff" localSheetId="7">#REF!</definedName>
    <definedName name="ff" localSheetId="5">#REF!</definedName>
    <definedName name="ff" localSheetId="10">#REF!</definedName>
    <definedName name="ff" localSheetId="11">#REF!</definedName>
    <definedName name="ff" localSheetId="9">#REF!</definedName>
    <definedName name="ff">#REF!</definedName>
    <definedName name="lljo" localSheetId="7">#REF!</definedName>
    <definedName name="lljo" localSheetId="5">#REF!</definedName>
    <definedName name="lljo" localSheetId="10">#REF!</definedName>
    <definedName name="lljo" localSheetId="11">#REF!</definedName>
    <definedName name="lljo" localSheetId="9">#REF!</definedName>
    <definedName name="lljo">#REF!</definedName>
    <definedName name="O">'Inside Meter '!$B$1048566</definedName>
    <definedName name="odm" localSheetId="7">#REF!</definedName>
    <definedName name="odm" localSheetId="5">#REF!</definedName>
    <definedName name="odm" localSheetId="10">#REF!</definedName>
    <definedName name="odm" localSheetId="11">#REF!</definedName>
    <definedName name="odm" localSheetId="9">#REF!</definedName>
    <definedName name="odm">#REF!</definedName>
    <definedName name="ONDOT" localSheetId="4">#REF!</definedName>
    <definedName name="ONDOT" localSheetId="1">#REF!</definedName>
    <definedName name="ONDOT" localSheetId="8">#REF!</definedName>
    <definedName name="ONDOT" localSheetId="7">#REF!</definedName>
    <definedName name="ONDOT" localSheetId="5">#REF!</definedName>
    <definedName name="ONDOT" localSheetId="6">#REF!</definedName>
    <definedName name="ONDOT" localSheetId="10">#REF!</definedName>
    <definedName name="ONDOT" localSheetId="0">#REF!</definedName>
    <definedName name="ONDOT" localSheetId="11">#REF!</definedName>
    <definedName name="ONDOT" localSheetId="9">#REF!</definedName>
    <definedName name="ONDOT" localSheetId="12">#REF!</definedName>
    <definedName name="ONDOT">#REF!</definedName>
    <definedName name="_xlnm.Print_Area" localSheetId="15">'Imperial HK'!$A$1:$AP$11</definedName>
    <definedName name="_xlnm.Print_Area" localSheetId="2">'Inside Meter '!$A$3:$O$39</definedName>
    <definedName name="ram" localSheetId="7">#REF!</definedName>
    <definedName name="ram" localSheetId="5">#REF!</definedName>
    <definedName name="ram" localSheetId="10">#REF!</definedName>
    <definedName name="ram" localSheetId="11">#REF!</definedName>
    <definedName name="ram" localSheetId="9">#REF!</definedName>
    <definedName name="ram">#REF!</definedName>
    <definedName name="ramji" localSheetId="7">#REF!</definedName>
    <definedName name="ramji" localSheetId="5">#REF!</definedName>
    <definedName name="ramji" localSheetId="10">#REF!</definedName>
    <definedName name="ramji" localSheetId="11">#REF!</definedName>
    <definedName name="ramji" localSheetId="9">#REF!</definedName>
    <definedName name="ramji">#REF!</definedName>
    <definedName name="Shift" localSheetId="7">#REF!</definedName>
    <definedName name="Shift" localSheetId="15">#REF!</definedName>
    <definedName name="Shift" localSheetId="5">#REF!</definedName>
    <definedName name="Shift" localSheetId="10">#REF!</definedName>
    <definedName name="Shift" localSheetId="11">#REF!</definedName>
    <definedName name="Shift" localSheetId="9">#REF!</definedName>
    <definedName name="Shift">#REF!</definedName>
    <definedName name="Wagoli" localSheetId="7">#REF!</definedName>
    <definedName name="Wagoli" localSheetId="5">#REF!</definedName>
    <definedName name="Wagoli" localSheetId="10">#REF!</definedName>
    <definedName name="Wagoli" localSheetId="11">#REF!</definedName>
    <definedName name="Wagoli" localSheetId="9">#REF!</definedName>
    <definedName name="Wagoli">#REF!</definedName>
    <definedName name="xdbs" localSheetId="7">#REF!</definedName>
    <definedName name="xdbs" localSheetId="5">#REF!</definedName>
    <definedName name="xdbs" localSheetId="10">#REF!</definedName>
    <definedName name="xdbs" localSheetId="11">#REF!</definedName>
    <definedName name="xdbs" localSheetId="9">#REF!</definedName>
    <definedName name="xdbs">#REF!</definedName>
    <definedName name="xts" localSheetId="7">#REF!</definedName>
    <definedName name="xts" localSheetId="5">#REF!</definedName>
    <definedName name="xts" localSheetId="10">#REF!</definedName>
    <definedName name="xts" localSheetId="11">#REF!</definedName>
    <definedName name="xts" localSheetId="9">#REF!</definedName>
    <definedName name="xts">#REF!</definedName>
    <definedName name="Z_1F97382E_80B0_473D_874E_BD5E60D01A4B_.wvu.Cols" localSheetId="4" hidden="1">Bisleri_Consu!$BC:$XFD</definedName>
    <definedName name="Z_1F97382E_80B0_473D_874E_BD5E60D01A4B_.wvu.Cols" localSheetId="1" hidden="1">'Extra Bills'!$N:$XFD</definedName>
    <definedName name="Z_1F97382E_80B0_473D_874E_BD5E60D01A4B_.wvu.Cols" localSheetId="8" hidden="1">'Food Consu'!$P:$XFD</definedName>
    <definedName name="Z_1F97382E_80B0_473D_874E_BD5E60D01A4B_.wvu.Cols" localSheetId="13" hidden="1">'Gallant SG'!$AW:$XFD</definedName>
    <definedName name="Z_1F97382E_80B0_473D_874E_BD5E60D01A4B_.wvu.Cols" localSheetId="7" hidden="1">'HK Material'!$AY:$XFD</definedName>
    <definedName name="Z_1F97382E_80B0_473D_874E_BD5E60D01A4B_.wvu.Cols" localSheetId="15" hidden="1">'Imperial HK'!$AV:$XFD</definedName>
    <definedName name="Z_1F97382E_80B0_473D_874E_BD5E60D01A4B_.wvu.Cols" localSheetId="2" hidden="1">'Inside Meter '!$R:$XFD</definedName>
    <definedName name="Z_1F97382E_80B0_473D_874E_BD5E60D01A4B_.wvu.Cols" localSheetId="5" hidden="1">Medical_Items!$BC:$XFD</definedName>
    <definedName name="Z_1F97382E_80B0_473D_874E_BD5E60D01A4B_.wvu.Cols" localSheetId="14" hidden="1">'OOPL SG '!$AV:$XFD</definedName>
    <definedName name="Z_1F97382E_80B0_473D_874E_BD5E60D01A4B_.wvu.Cols" localSheetId="3" hidden="1">'OutSide Meter'!$AM:$XFD</definedName>
    <definedName name="Z_1F97382E_80B0_473D_874E_BD5E60D01A4B_.wvu.Cols" localSheetId="6" hidden="1">Stationery!$AX:$XFD</definedName>
    <definedName name="Z_1F97382E_80B0_473D_874E_BD5E60D01A4B_.wvu.Cols" localSheetId="10" hidden="1">'Sumant Tea&amp;Coffee'!$BC:$XFD</definedName>
    <definedName name="Z_1F97382E_80B0_473D_874E_BD5E60D01A4B_.wvu.Cols" localSheetId="0" hidden="1">Summary!$T:$XFD</definedName>
    <definedName name="Z_1F97382E_80B0_473D_874E_BD5E60D01A4B_.wvu.Cols" localSheetId="11" hidden="1">'Toner Consu'!$BC:$XFD</definedName>
    <definedName name="Z_1F97382E_80B0_473D_874E_BD5E60D01A4B_.wvu.Cols" localSheetId="9" hidden="1">'Veebha Tea&amp;Coffee'!$BC:$XFD</definedName>
    <definedName name="Z_1F97382E_80B0_473D_874E_BD5E60D01A4B_.wvu.Cols" localSheetId="12" hidden="1">Water!$O:$XFD</definedName>
    <definedName name="Z_1F97382E_80B0_473D_874E_BD5E60D01A4B_.wvu.FilterData" localSheetId="7" hidden="1">'HK Material'!$A$5:$AME$81</definedName>
    <definedName name="Z_1F97382E_80B0_473D_874E_BD5E60D01A4B_.wvu.FilterData" localSheetId="15" hidden="1">'Imperial HK'!$A$1:$AS$23</definedName>
    <definedName name="Z_1F97382E_80B0_473D_874E_BD5E60D01A4B_.wvu.FilterData" localSheetId="6" hidden="1">Stationery!$B$5:$AV$5</definedName>
    <definedName name="Z_1F97382E_80B0_473D_874E_BD5E60D01A4B_.wvu.PrintArea" localSheetId="15" hidden="1">'Imperial HK'!$A$1:$AP$11</definedName>
    <definedName name="Z_1F97382E_80B0_473D_874E_BD5E60D01A4B_.wvu.Rows" localSheetId="8" hidden="1">'Food Consu'!$43:$1048576</definedName>
    <definedName name="Z_1F97382E_80B0_473D_874E_BD5E60D01A4B_.wvu.Rows" localSheetId="13" hidden="1">'Gallant SG'!$30:$1048576,'Gallant SG'!$24:$28</definedName>
    <definedName name="Z_1F97382E_80B0_473D_874E_BD5E60D01A4B_.wvu.Rows" localSheetId="7" hidden="1">'HK Material'!$113:$1048576,'HK Material'!$86:$89</definedName>
    <definedName name="Z_1F97382E_80B0_473D_874E_BD5E60D01A4B_.wvu.Rows" localSheetId="15" hidden="1">'Imperial HK'!$45:$1048576,'Imperial HK'!$40:$44</definedName>
    <definedName name="Z_1F97382E_80B0_473D_874E_BD5E60D01A4B_.wvu.Rows" localSheetId="2" hidden="1">'Inside Meter '!$42:$1048576</definedName>
    <definedName name="Z_1F97382E_80B0_473D_874E_BD5E60D01A4B_.wvu.Rows" localSheetId="3" hidden="1">'OutSide Meter'!$44:$1048576</definedName>
    <definedName name="Z_1F97382E_80B0_473D_874E_BD5E60D01A4B_.wvu.Rows" localSheetId="6" hidden="1">Stationery!$140:$1048576,Stationery!$128:$131</definedName>
    <definedName name="Z_1F97382E_80B0_473D_874E_BD5E60D01A4B_.wvu.Rows" localSheetId="0" hidden="1">Summary!$27:$1048576</definedName>
    <definedName name="Z_1F97382E_80B0_473D_874E_BD5E60D01A4B_.wvu.Rows" localSheetId="12" hidden="1">Water!$55:$1048576,Water!$51:$54</definedName>
    <definedName name="Z_5E113600_004F_4409_A088_DFECFF9BC96A_.wvu.Cols" localSheetId="4" hidden="1">Bisleri_Consu!$BC:$XFD</definedName>
    <definedName name="Z_5E113600_004F_4409_A088_DFECFF9BC96A_.wvu.Cols" localSheetId="1" hidden="1">'Extra Bills'!$N:$XFD</definedName>
    <definedName name="Z_5E113600_004F_4409_A088_DFECFF9BC96A_.wvu.Cols" localSheetId="8" hidden="1">'Food Consu'!$P:$XFD</definedName>
    <definedName name="Z_5E113600_004F_4409_A088_DFECFF9BC96A_.wvu.Cols" localSheetId="13" hidden="1">'Gallant SG'!$AW:$XFD</definedName>
    <definedName name="Z_5E113600_004F_4409_A088_DFECFF9BC96A_.wvu.Cols" localSheetId="7" hidden="1">'HK Material'!$AY:$XFD</definedName>
    <definedName name="Z_5E113600_004F_4409_A088_DFECFF9BC96A_.wvu.Cols" localSheetId="15" hidden="1">'Imperial HK'!$AV:$XFD</definedName>
    <definedName name="Z_5E113600_004F_4409_A088_DFECFF9BC96A_.wvu.Cols" localSheetId="2" hidden="1">'Inside Meter '!$R:$XFD</definedName>
    <definedName name="Z_5E113600_004F_4409_A088_DFECFF9BC96A_.wvu.Cols" localSheetId="5" hidden="1">Medical_Items!$BC:$XFD</definedName>
    <definedName name="Z_5E113600_004F_4409_A088_DFECFF9BC96A_.wvu.Cols" localSheetId="14" hidden="1">'OOPL SG '!$AV:$XFD</definedName>
    <definedName name="Z_5E113600_004F_4409_A088_DFECFF9BC96A_.wvu.Cols" localSheetId="3" hidden="1">'OutSide Meter'!$AM:$XFD</definedName>
    <definedName name="Z_5E113600_004F_4409_A088_DFECFF9BC96A_.wvu.Cols" localSheetId="6" hidden="1">Stationery!$AX:$XFD</definedName>
    <definedName name="Z_5E113600_004F_4409_A088_DFECFF9BC96A_.wvu.Cols" localSheetId="10" hidden="1">'Sumant Tea&amp;Coffee'!$BC:$XFD</definedName>
    <definedName name="Z_5E113600_004F_4409_A088_DFECFF9BC96A_.wvu.Cols" localSheetId="0" hidden="1">Summary!$T:$XFD</definedName>
    <definedName name="Z_5E113600_004F_4409_A088_DFECFF9BC96A_.wvu.Cols" localSheetId="11" hidden="1">'Toner Consu'!$BC:$XFD</definedName>
    <definedName name="Z_5E113600_004F_4409_A088_DFECFF9BC96A_.wvu.Cols" localSheetId="9" hidden="1">'Veebha Tea&amp;Coffee'!$BC:$XFD</definedName>
    <definedName name="Z_5E113600_004F_4409_A088_DFECFF9BC96A_.wvu.Cols" localSheetId="12" hidden="1">Water!$O:$XFD</definedName>
    <definedName name="Z_5E113600_004F_4409_A088_DFECFF9BC96A_.wvu.FilterData" localSheetId="7" hidden="1">'HK Material'!$A$5:$AME$81</definedName>
    <definedName name="Z_5E113600_004F_4409_A088_DFECFF9BC96A_.wvu.FilterData" localSheetId="15" hidden="1">'Imperial HK'!$A$1:$AS$23</definedName>
    <definedName name="Z_5E113600_004F_4409_A088_DFECFF9BC96A_.wvu.FilterData" localSheetId="6" hidden="1">Stationery!$B$5:$AV$5</definedName>
    <definedName name="Z_5E113600_004F_4409_A088_DFECFF9BC96A_.wvu.PrintArea" localSheetId="15" hidden="1">'Imperial HK'!$A$1:$AP$11</definedName>
    <definedName name="Z_5E113600_004F_4409_A088_DFECFF9BC96A_.wvu.Rows" localSheetId="8" hidden="1">'Food Consu'!$43:$1048576</definedName>
    <definedName name="Z_5E113600_004F_4409_A088_DFECFF9BC96A_.wvu.Rows" localSheetId="13" hidden="1">'Gallant SG'!$30:$1048576,'Gallant SG'!$24:$28</definedName>
    <definedName name="Z_5E113600_004F_4409_A088_DFECFF9BC96A_.wvu.Rows" localSheetId="7" hidden="1">'HK Material'!$113:$1048576,'HK Material'!$86:$89</definedName>
    <definedName name="Z_5E113600_004F_4409_A088_DFECFF9BC96A_.wvu.Rows" localSheetId="15" hidden="1">'Imperial HK'!$45:$1048576,'Imperial HK'!$40:$44</definedName>
    <definedName name="Z_5E113600_004F_4409_A088_DFECFF9BC96A_.wvu.Rows" localSheetId="2" hidden="1">'Inside Meter '!$42:$1048576</definedName>
    <definedName name="Z_5E113600_004F_4409_A088_DFECFF9BC96A_.wvu.Rows" localSheetId="3" hidden="1">'OutSide Meter'!$44:$1048576</definedName>
    <definedName name="Z_5E113600_004F_4409_A088_DFECFF9BC96A_.wvu.Rows" localSheetId="6" hidden="1">Stationery!$140:$1048576,Stationery!$128:$131</definedName>
    <definedName name="Z_5E113600_004F_4409_A088_DFECFF9BC96A_.wvu.Rows" localSheetId="0" hidden="1">Summary!$27:$1048576</definedName>
    <definedName name="Z_5E113600_004F_4409_A088_DFECFF9BC96A_.wvu.Rows" localSheetId="12" hidden="1">Water!$55:$1048576,Water!$51:$54</definedName>
    <definedName name="Z_7663FDEA_AE2F_416B_8123_1D493B6639C0_.wvu.Cols" localSheetId="4" hidden="1">Bisleri_Consu!$BC:$XFD</definedName>
    <definedName name="Z_7663FDEA_AE2F_416B_8123_1D493B6639C0_.wvu.Cols" localSheetId="1" hidden="1">'Extra Bills'!$N:$XFD</definedName>
    <definedName name="Z_7663FDEA_AE2F_416B_8123_1D493B6639C0_.wvu.Cols" localSheetId="8" hidden="1">'Food Consu'!$P:$XFD</definedName>
    <definedName name="Z_7663FDEA_AE2F_416B_8123_1D493B6639C0_.wvu.Cols" localSheetId="13" hidden="1">'Gallant SG'!$AW:$XFD</definedName>
    <definedName name="Z_7663FDEA_AE2F_416B_8123_1D493B6639C0_.wvu.Cols" localSheetId="7" hidden="1">'HK Material'!$AY:$XFD</definedName>
    <definedName name="Z_7663FDEA_AE2F_416B_8123_1D493B6639C0_.wvu.Cols" localSheetId="15" hidden="1">'Imperial HK'!$AV:$XFD</definedName>
    <definedName name="Z_7663FDEA_AE2F_416B_8123_1D493B6639C0_.wvu.Cols" localSheetId="2" hidden="1">'Inside Meter '!$R:$XFD</definedName>
    <definedName name="Z_7663FDEA_AE2F_416B_8123_1D493B6639C0_.wvu.Cols" localSheetId="5" hidden="1">Medical_Items!$BC:$XFD</definedName>
    <definedName name="Z_7663FDEA_AE2F_416B_8123_1D493B6639C0_.wvu.Cols" localSheetId="14" hidden="1">'OOPL SG '!$AV:$XFD</definedName>
    <definedName name="Z_7663FDEA_AE2F_416B_8123_1D493B6639C0_.wvu.Cols" localSheetId="3" hidden="1">'OutSide Meter'!$AM:$XFD</definedName>
    <definedName name="Z_7663FDEA_AE2F_416B_8123_1D493B6639C0_.wvu.Cols" localSheetId="6" hidden="1">Stationery!$AX:$XFD</definedName>
    <definedName name="Z_7663FDEA_AE2F_416B_8123_1D493B6639C0_.wvu.Cols" localSheetId="10" hidden="1">'Sumant Tea&amp;Coffee'!$BC:$XFD</definedName>
    <definedName name="Z_7663FDEA_AE2F_416B_8123_1D493B6639C0_.wvu.Cols" localSheetId="0" hidden="1">Summary!$T:$XFD</definedName>
    <definedName name="Z_7663FDEA_AE2F_416B_8123_1D493B6639C0_.wvu.Cols" localSheetId="11" hidden="1">'Toner Consu'!$BC:$XFD</definedName>
    <definedName name="Z_7663FDEA_AE2F_416B_8123_1D493B6639C0_.wvu.Cols" localSheetId="9" hidden="1">'Veebha Tea&amp;Coffee'!$BC:$XFD</definedName>
    <definedName name="Z_7663FDEA_AE2F_416B_8123_1D493B6639C0_.wvu.Cols" localSheetId="12" hidden="1">Water!$O:$XFD</definedName>
    <definedName name="Z_7663FDEA_AE2F_416B_8123_1D493B6639C0_.wvu.FilterData" localSheetId="7" hidden="1">'HK Material'!$A$5:$AME$81</definedName>
    <definedName name="Z_7663FDEA_AE2F_416B_8123_1D493B6639C0_.wvu.FilterData" localSheetId="15" hidden="1">'Imperial HK'!$A$1:$AS$23</definedName>
    <definedName name="Z_7663FDEA_AE2F_416B_8123_1D493B6639C0_.wvu.FilterData" localSheetId="6" hidden="1">Stationery!$B$5:$AV$5</definedName>
    <definedName name="Z_7663FDEA_AE2F_416B_8123_1D493B6639C0_.wvu.PrintArea" localSheetId="15" hidden="1">'Imperial HK'!$A$1:$AP$11</definedName>
    <definedName name="Z_7663FDEA_AE2F_416B_8123_1D493B6639C0_.wvu.Rows" localSheetId="8" hidden="1">'Food Consu'!$43:$1048576</definedName>
    <definedName name="Z_7663FDEA_AE2F_416B_8123_1D493B6639C0_.wvu.Rows" localSheetId="13" hidden="1">'Gallant SG'!$30:$1048576,'Gallant SG'!$24:$28</definedName>
    <definedName name="Z_7663FDEA_AE2F_416B_8123_1D493B6639C0_.wvu.Rows" localSheetId="7" hidden="1">'HK Material'!$113:$1048576,'HK Material'!$86:$89</definedName>
    <definedName name="Z_7663FDEA_AE2F_416B_8123_1D493B6639C0_.wvu.Rows" localSheetId="15" hidden="1">'Imperial HK'!$45:$1048576,'Imperial HK'!$40:$44</definedName>
    <definedName name="Z_7663FDEA_AE2F_416B_8123_1D493B6639C0_.wvu.Rows" localSheetId="2" hidden="1">'Inside Meter '!$42:$1048576</definedName>
    <definedName name="Z_7663FDEA_AE2F_416B_8123_1D493B6639C0_.wvu.Rows" localSheetId="3" hidden="1">'OutSide Meter'!$44:$1048576</definedName>
    <definedName name="Z_7663FDEA_AE2F_416B_8123_1D493B6639C0_.wvu.Rows" localSheetId="6" hidden="1">Stationery!$140:$1048576,Stationery!$128:$131</definedName>
    <definedName name="Z_7663FDEA_AE2F_416B_8123_1D493B6639C0_.wvu.Rows" localSheetId="0" hidden="1">Summary!$27:$1048576</definedName>
    <definedName name="Z_7663FDEA_AE2F_416B_8123_1D493B6639C0_.wvu.Rows" localSheetId="12" hidden="1">Water!$55:$1048576,Water!$51:$54</definedName>
    <definedName name="Z_C287C8AD_6E2E_4D5F_930B_C18EF9030790_.wvu.Cols" localSheetId="4" hidden="1">Bisleri_Consu!$BC:$XFD</definedName>
    <definedName name="Z_C287C8AD_6E2E_4D5F_930B_C18EF9030790_.wvu.Cols" localSheetId="1" hidden="1">'Extra Bills'!$N:$XFD</definedName>
    <definedName name="Z_C287C8AD_6E2E_4D5F_930B_C18EF9030790_.wvu.Cols" localSheetId="8" hidden="1">'Food Consu'!$P:$XFD</definedName>
    <definedName name="Z_C287C8AD_6E2E_4D5F_930B_C18EF9030790_.wvu.Cols" localSheetId="13" hidden="1">'Gallant SG'!$AW:$XFD</definedName>
    <definedName name="Z_C287C8AD_6E2E_4D5F_930B_C18EF9030790_.wvu.Cols" localSheetId="7" hidden="1">'HK Material'!$AY:$XFD</definedName>
    <definedName name="Z_C287C8AD_6E2E_4D5F_930B_C18EF9030790_.wvu.Cols" localSheetId="15" hidden="1">'Imperial HK'!$AV:$XFD</definedName>
    <definedName name="Z_C287C8AD_6E2E_4D5F_930B_C18EF9030790_.wvu.Cols" localSheetId="2" hidden="1">'Inside Meter '!$R:$XFD</definedName>
    <definedName name="Z_C287C8AD_6E2E_4D5F_930B_C18EF9030790_.wvu.Cols" localSheetId="5" hidden="1">Medical_Items!$BC:$XFD</definedName>
    <definedName name="Z_C287C8AD_6E2E_4D5F_930B_C18EF9030790_.wvu.Cols" localSheetId="14" hidden="1">'OOPL SG '!$AV:$XFD</definedName>
    <definedName name="Z_C287C8AD_6E2E_4D5F_930B_C18EF9030790_.wvu.Cols" localSheetId="3" hidden="1">'OutSide Meter'!$AM:$XFD</definedName>
    <definedName name="Z_C287C8AD_6E2E_4D5F_930B_C18EF9030790_.wvu.Cols" localSheetId="6" hidden="1">Stationery!$AX:$XFD</definedName>
    <definedName name="Z_C287C8AD_6E2E_4D5F_930B_C18EF9030790_.wvu.Cols" localSheetId="10" hidden="1">'Sumant Tea&amp;Coffee'!$BC:$XFD</definedName>
    <definedName name="Z_C287C8AD_6E2E_4D5F_930B_C18EF9030790_.wvu.Cols" localSheetId="0" hidden="1">Summary!$T:$XFD</definedName>
    <definedName name="Z_C287C8AD_6E2E_4D5F_930B_C18EF9030790_.wvu.Cols" localSheetId="11" hidden="1">'Toner Consu'!$BC:$XFD</definedName>
    <definedName name="Z_C287C8AD_6E2E_4D5F_930B_C18EF9030790_.wvu.Cols" localSheetId="9" hidden="1">'Veebha Tea&amp;Coffee'!$BC:$XFD</definedName>
    <definedName name="Z_C287C8AD_6E2E_4D5F_930B_C18EF9030790_.wvu.Cols" localSheetId="12" hidden="1">Water!$O:$XFD</definedName>
    <definedName name="Z_C287C8AD_6E2E_4D5F_930B_C18EF9030790_.wvu.FilterData" localSheetId="7" hidden="1">'HK Material'!$A$5:$AME$81</definedName>
    <definedName name="Z_C287C8AD_6E2E_4D5F_930B_C18EF9030790_.wvu.FilterData" localSheetId="15" hidden="1">'Imperial HK'!$A$1:$AS$23</definedName>
    <definedName name="Z_C287C8AD_6E2E_4D5F_930B_C18EF9030790_.wvu.FilterData" localSheetId="6" hidden="1">Stationery!$B$5:$AV$5</definedName>
    <definedName name="Z_C287C8AD_6E2E_4D5F_930B_C18EF9030790_.wvu.PrintArea" localSheetId="15" hidden="1">'Imperial HK'!$A$1:$AP$11</definedName>
    <definedName name="Z_C287C8AD_6E2E_4D5F_930B_C18EF9030790_.wvu.Rows" localSheetId="8" hidden="1">'Food Consu'!$43:$1048576</definedName>
    <definedName name="Z_C287C8AD_6E2E_4D5F_930B_C18EF9030790_.wvu.Rows" localSheetId="13" hidden="1">'Gallant SG'!$30:$1048576,'Gallant SG'!$24:$28</definedName>
    <definedName name="Z_C287C8AD_6E2E_4D5F_930B_C18EF9030790_.wvu.Rows" localSheetId="7" hidden="1">'HK Material'!$113:$1048576,'HK Material'!$86:$89</definedName>
    <definedName name="Z_C287C8AD_6E2E_4D5F_930B_C18EF9030790_.wvu.Rows" localSheetId="15" hidden="1">'Imperial HK'!$45:$1048576,'Imperial HK'!$40:$44</definedName>
    <definedName name="Z_C287C8AD_6E2E_4D5F_930B_C18EF9030790_.wvu.Rows" localSheetId="2" hidden="1">'Inside Meter '!$42:$1048576</definedName>
    <definedName name="Z_C287C8AD_6E2E_4D5F_930B_C18EF9030790_.wvu.Rows" localSheetId="3" hidden="1">'OutSide Meter'!$44:$1048576</definedName>
    <definedName name="Z_C287C8AD_6E2E_4D5F_930B_C18EF9030790_.wvu.Rows" localSheetId="6" hidden="1">Stationery!$140:$1048576,Stationery!$128:$131</definedName>
    <definedName name="Z_C287C8AD_6E2E_4D5F_930B_C18EF9030790_.wvu.Rows" localSheetId="0" hidden="1">Summary!$27:$1048576</definedName>
    <definedName name="Z_C287C8AD_6E2E_4D5F_930B_C18EF9030790_.wvu.Rows" localSheetId="12" hidden="1">Water!$55:$1048576,Water!$51:$54</definedName>
  </definedNames>
  <calcPr calcId="191029"/>
  <customWorkbookViews>
    <customWorkbookView name="Ajay Kharat - Personal View" guid="{5E113600-004F-4409-A088-DFECFF9BC96A}" mergeInterval="0" personalView="1" maximized="1" xWindow="-8" yWindow="-8" windowWidth="1616" windowHeight="876" tabRatio="772" activeSheetId="14"/>
    <customWorkbookView name="Anil S Kadam - Personal View" guid="{1F97382E-80B0-473D-874E-BD5E60D01A4B}" mergeInterval="0" personalView="1" maximized="1" xWindow="-8" yWindow="-8" windowWidth="1616" windowHeight="876" tabRatio="772" activeSheetId="12"/>
    <customWorkbookView name="Shahebaz Rashid Khan - Personal View" guid="{7663FDEA-AE2F-416B-8123-1D493B6639C0}" mergeInterval="0" personalView="1" maximized="1" xWindow="-8" yWindow="-8" windowWidth="1616" windowHeight="876" tabRatio="772" activeSheetId="17"/>
    <customWorkbookView name="Shubham Suresh Ghadge - Personal View" guid="{C287C8AD-6E2E-4D5F-930B-C18EF9030790}" mergeInterval="0" personalView="1" maximized="1" xWindow="-8" yWindow="-8" windowWidth="1616" windowHeight="876" tabRatio="772" activeSheetId="1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4" l="1"/>
  <c r="L2" i="4"/>
  <c r="B2" i="4"/>
  <c r="B2" i="3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E23" i="17"/>
  <c r="D22" i="17"/>
  <c r="AJ22" i="17"/>
  <c r="AK22" i="17"/>
  <c r="AL22" i="17"/>
  <c r="AM22" i="17"/>
  <c r="AO22" i="17"/>
  <c r="AP22" i="17" s="1"/>
  <c r="D21" i="17"/>
  <c r="AJ21" i="17"/>
  <c r="AK21" i="17"/>
  <c r="AL21" i="17"/>
  <c r="AM21" i="17"/>
  <c r="AO21" i="17"/>
  <c r="AP21" i="17" s="1"/>
  <c r="AN22" i="17" l="1"/>
  <c r="AQ22" i="17" s="1"/>
  <c r="AR22" i="17" s="1"/>
  <c r="AN21" i="17"/>
  <c r="AQ21" i="17" s="1"/>
  <c r="AR21" i="17" s="1"/>
  <c r="D20" i="17"/>
  <c r="AJ20" i="17"/>
  <c r="AK20" i="17"/>
  <c r="AL20" i="17"/>
  <c r="AM20" i="17"/>
  <c r="AO20" i="17"/>
  <c r="AP20" i="17" s="1"/>
  <c r="AN20" i="17" l="1"/>
  <c r="AQ20" i="17" s="1"/>
  <c r="AR20" i="17" s="1"/>
  <c r="D19" i="17" l="1"/>
  <c r="AJ19" i="17"/>
  <c r="AK19" i="17"/>
  <c r="AL19" i="17"/>
  <c r="AM19" i="17"/>
  <c r="AO19" i="17"/>
  <c r="AP19" i="17" s="1"/>
  <c r="AN19" i="17" l="1"/>
  <c r="AQ19" i="17" s="1"/>
  <c r="AR19" i="17" s="1"/>
  <c r="O15" i="13"/>
  <c r="P15" i="13"/>
  <c r="Q15" i="13"/>
  <c r="R15" i="13"/>
  <c r="S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AJ15" i="13"/>
  <c r="AK15" i="13"/>
  <c r="AL15" i="13"/>
  <c r="AM15" i="13"/>
  <c r="AN15" i="13"/>
  <c r="AO15" i="13"/>
  <c r="AP15" i="13"/>
  <c r="AQ15" i="13"/>
  <c r="AR15" i="13"/>
  <c r="AS15" i="13"/>
  <c r="AY15" i="13"/>
  <c r="AZ15" i="13"/>
  <c r="I15" i="13"/>
  <c r="H15" i="13"/>
  <c r="N14" i="13"/>
  <c r="AT14" i="13"/>
  <c r="AV14" i="13" s="1"/>
  <c r="AX14" i="13"/>
  <c r="BA14" i="13" s="1"/>
  <c r="N13" i="13"/>
  <c r="AT13" i="13"/>
  <c r="AV13" i="13" s="1"/>
  <c r="AX13" i="13"/>
  <c r="BA13" i="13" s="1"/>
  <c r="AU14" i="13" l="1"/>
  <c r="AW14" i="13" s="1"/>
  <c r="AU13" i="13"/>
  <c r="AW13" i="13" s="1"/>
  <c r="D18" i="17"/>
  <c r="AJ18" i="17"/>
  <c r="AK18" i="17"/>
  <c r="AL18" i="17"/>
  <c r="AM18" i="17"/>
  <c r="AO18" i="17"/>
  <c r="AP18" i="17" s="1"/>
  <c r="AN18" i="17" l="1"/>
  <c r="AQ18" i="17" s="1"/>
  <c r="AR18" i="17" s="1"/>
  <c r="E5" i="15"/>
  <c r="D17" i="17" l="1"/>
  <c r="AJ17" i="17"/>
  <c r="AK17" i="17"/>
  <c r="AL17" i="17"/>
  <c r="AM17" i="17"/>
  <c r="AO17" i="17"/>
  <c r="AP17" i="17" s="1"/>
  <c r="AN17" i="17" l="1"/>
  <c r="AQ17" i="17" s="1"/>
  <c r="AR17" i="17" s="1"/>
  <c r="AT123" i="8"/>
  <c r="AU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AK123" i="8"/>
  <c r="AL123" i="8"/>
  <c r="AM123" i="8"/>
  <c r="AN123" i="8"/>
  <c r="J123" i="8"/>
  <c r="I122" i="8"/>
  <c r="AO122" i="8"/>
  <c r="AQ122" i="8" s="1"/>
  <c r="AS122" i="8"/>
  <c r="AV122" i="8" s="1"/>
  <c r="AP122" i="8" l="1"/>
  <c r="AR122" i="8" s="1"/>
  <c r="D16" i="17"/>
  <c r="AJ16" i="17"/>
  <c r="AK16" i="17"/>
  <c r="AL16" i="17"/>
  <c r="AM16" i="17"/>
  <c r="AO16" i="17"/>
  <c r="AP16" i="17" s="1"/>
  <c r="D15" i="17"/>
  <c r="AJ15" i="17"/>
  <c r="AK15" i="17"/>
  <c r="AL15" i="17"/>
  <c r="AM15" i="17"/>
  <c r="AO15" i="17"/>
  <c r="AP15" i="17" s="1"/>
  <c r="AN16" i="17" l="1"/>
  <c r="AQ16" i="17" s="1"/>
  <c r="AR16" i="17" s="1"/>
  <c r="AN15" i="17"/>
  <c r="AQ15" i="17" s="1"/>
  <c r="AR15" i="17" s="1"/>
  <c r="D12" i="16"/>
  <c r="AJ12" i="16"/>
  <c r="AK12" i="16"/>
  <c r="AL12" i="16"/>
  <c r="AM12" i="16"/>
  <c r="AO12" i="16"/>
  <c r="AP12" i="16" s="1"/>
  <c r="AN12" i="16" l="1"/>
  <c r="AQ12" i="16" s="1"/>
  <c r="AR12" i="16" s="1"/>
  <c r="G12" i="15" l="1"/>
  <c r="H12" i="15"/>
  <c r="I12" i="15"/>
  <c r="J12" i="15"/>
  <c r="K12" i="15"/>
  <c r="L12" i="15"/>
  <c r="M12" i="15"/>
  <c r="N12" i="15"/>
  <c r="O12" i="15"/>
  <c r="P12" i="15"/>
  <c r="Q12" i="15"/>
  <c r="R12" i="15"/>
  <c r="S12" i="15"/>
  <c r="T12" i="15"/>
  <c r="U12" i="15"/>
  <c r="V12" i="15"/>
  <c r="W12" i="15"/>
  <c r="X12" i="15"/>
  <c r="Y12" i="15"/>
  <c r="Z12" i="15"/>
  <c r="AA12" i="15"/>
  <c r="AB12" i="15"/>
  <c r="AC12" i="15"/>
  <c r="AD12" i="15"/>
  <c r="AE12" i="15"/>
  <c r="AF12" i="15"/>
  <c r="AG12" i="15"/>
  <c r="AH12" i="15"/>
  <c r="AI12" i="15"/>
  <c r="AJ12" i="15"/>
  <c r="F12" i="15"/>
  <c r="E11" i="15"/>
  <c r="AK11" i="15"/>
  <c r="AL11" i="15"/>
  <c r="AM11" i="15"/>
  <c r="AN11" i="15"/>
  <c r="AP11" i="15"/>
  <c r="AQ11" i="15" s="1"/>
  <c r="AO11" i="15" l="1"/>
  <c r="AR11" i="15" s="1"/>
  <c r="AS11" i="15" s="1"/>
  <c r="AS16" i="16"/>
  <c r="AK6" i="15"/>
  <c r="AK7" i="15"/>
  <c r="AK8" i="15"/>
  <c r="AK9" i="15"/>
  <c r="AK10" i="15"/>
  <c r="AK5" i="15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S16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AI16" i="16"/>
  <c r="E16" i="16"/>
  <c r="D15" i="16"/>
  <c r="AJ15" i="16"/>
  <c r="AK15" i="16"/>
  <c r="AL15" i="16"/>
  <c r="AM15" i="16"/>
  <c r="AO15" i="16"/>
  <c r="AP15" i="16" s="1"/>
  <c r="E10" i="15"/>
  <c r="AL10" i="15"/>
  <c r="AM10" i="15"/>
  <c r="AN10" i="15"/>
  <c r="AP10" i="15"/>
  <c r="AQ10" i="15" s="1"/>
  <c r="AK12" i="15" l="1"/>
  <c r="AO10" i="15"/>
  <c r="AR10" i="15" s="1"/>
  <c r="AS10" i="15" s="1"/>
  <c r="AN15" i="16"/>
  <c r="AQ15" i="16" s="1"/>
  <c r="AR15" i="16" s="1"/>
  <c r="D14" i="17"/>
  <c r="AJ14" i="17"/>
  <c r="AK14" i="17"/>
  <c r="AL14" i="17"/>
  <c r="AM14" i="17"/>
  <c r="AO14" i="17"/>
  <c r="AP14" i="17" s="1"/>
  <c r="AN14" i="17" l="1"/>
  <c r="AQ14" i="17" s="1"/>
  <c r="AR14" i="17" s="1"/>
  <c r="D13" i="17"/>
  <c r="AJ13" i="17"/>
  <c r="AK13" i="17"/>
  <c r="AL13" i="17"/>
  <c r="AM13" i="17"/>
  <c r="AO13" i="17"/>
  <c r="AP13" i="17" l="1"/>
  <c r="AN13" i="17"/>
  <c r="AQ13" i="17" l="1"/>
  <c r="E9" i="15"/>
  <c r="AL9" i="15"/>
  <c r="AM9" i="15"/>
  <c r="AN9" i="15"/>
  <c r="AP9" i="15"/>
  <c r="AQ9" i="15" s="1"/>
  <c r="AR13" i="17" l="1"/>
  <c r="AO9" i="15"/>
  <c r="AR9" i="15" s="1"/>
  <c r="AS9" i="15" s="1"/>
  <c r="E8" i="15"/>
  <c r="AL8" i="15"/>
  <c r="AM8" i="15"/>
  <c r="AN8" i="15"/>
  <c r="AP8" i="15"/>
  <c r="AQ8" i="15" s="1"/>
  <c r="AO8" i="15" l="1"/>
  <c r="AR8" i="15" s="1"/>
  <c r="AS8" i="15" s="1"/>
  <c r="D12" i="17"/>
  <c r="AJ12" i="17"/>
  <c r="AK12" i="17"/>
  <c r="AL12" i="17"/>
  <c r="AM12" i="17"/>
  <c r="AO12" i="17"/>
  <c r="AP12" i="17" l="1"/>
  <c r="AN12" i="17"/>
  <c r="AQ12" i="17" l="1"/>
  <c r="I120" i="8"/>
  <c r="AO120" i="8"/>
  <c r="AQ120" i="8" s="1"/>
  <c r="AS120" i="8"/>
  <c r="AV120" i="8" s="1"/>
  <c r="I20" i="8"/>
  <c r="AO20" i="8"/>
  <c r="AQ20" i="8" s="1"/>
  <c r="AS20" i="8"/>
  <c r="AV20" i="8" s="1"/>
  <c r="AR12" i="17" l="1"/>
  <c r="AP120" i="8"/>
  <c r="AR120" i="8" s="1"/>
  <c r="AP20" i="8"/>
  <c r="AR20" i="8" s="1"/>
  <c r="AS100" i="8" l="1"/>
  <c r="AV100" i="8" s="1"/>
  <c r="AO100" i="8"/>
  <c r="AQ100" i="8" s="1"/>
  <c r="I100" i="8"/>
  <c r="AP100" i="8" l="1"/>
  <c r="AR100" i="8" s="1"/>
  <c r="AS14" i="8"/>
  <c r="AO14" i="8"/>
  <c r="AQ14" i="8" s="1"/>
  <c r="I14" i="8"/>
  <c r="AP14" i="8" l="1"/>
  <c r="AR14" i="8" s="1"/>
  <c r="AS107" i="8"/>
  <c r="AO107" i="8"/>
  <c r="AQ107" i="8" s="1"/>
  <c r="I107" i="8"/>
  <c r="AP107" i="8" l="1"/>
  <c r="AR107" i="8" s="1"/>
  <c r="Z25" i="4"/>
  <c r="W25" i="4"/>
  <c r="AT10" i="13" l="1"/>
  <c r="AX10" i="13"/>
  <c r="BA10" i="13" s="1"/>
  <c r="AT11" i="13"/>
  <c r="AV11" i="13" s="1"/>
  <c r="AX11" i="13"/>
  <c r="BA11" i="13" s="1"/>
  <c r="AT12" i="13"/>
  <c r="AX12" i="13"/>
  <c r="BA12" i="13" s="1"/>
  <c r="N10" i="13"/>
  <c r="N11" i="13"/>
  <c r="N12" i="13"/>
  <c r="AU11" i="13" l="1"/>
  <c r="AW11" i="13" s="1"/>
  <c r="AU12" i="13"/>
  <c r="AW12" i="13" s="1"/>
  <c r="AU10" i="13"/>
  <c r="AW10" i="13" s="1"/>
  <c r="AV10" i="13"/>
  <c r="AV12" i="13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J58" i="9"/>
  <c r="J59" i="9"/>
  <c r="J60" i="9"/>
  <c r="J61" i="9"/>
  <c r="J62" i="9"/>
  <c r="J63" i="9"/>
  <c r="J64" i="9"/>
  <c r="J65" i="9"/>
  <c r="J66" i="9"/>
  <c r="J67" i="9"/>
  <c r="J68" i="9"/>
  <c r="J69" i="9"/>
  <c r="J70" i="9"/>
  <c r="J71" i="9"/>
  <c r="J72" i="9"/>
  <c r="J73" i="9"/>
  <c r="J74" i="9"/>
  <c r="J75" i="9"/>
  <c r="J76" i="9"/>
  <c r="J77" i="9"/>
  <c r="J78" i="9"/>
  <c r="J79" i="9"/>
  <c r="J6" i="9"/>
  <c r="I7" i="8" l="1"/>
  <c r="I8" i="8"/>
  <c r="I9" i="8"/>
  <c r="I10" i="8"/>
  <c r="I11" i="8"/>
  <c r="I12" i="8"/>
  <c r="I13" i="8"/>
  <c r="I15" i="8"/>
  <c r="I16" i="8"/>
  <c r="I17" i="8"/>
  <c r="I18" i="8"/>
  <c r="I19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1" i="8"/>
  <c r="I102" i="8"/>
  <c r="I103" i="8"/>
  <c r="I104" i="8"/>
  <c r="I105" i="8"/>
  <c r="I106" i="8"/>
  <c r="I108" i="8"/>
  <c r="I109" i="8"/>
  <c r="I110" i="8"/>
  <c r="I111" i="8"/>
  <c r="I112" i="8"/>
  <c r="I113" i="8"/>
  <c r="I114" i="8"/>
  <c r="I115" i="8"/>
  <c r="I116" i="8"/>
  <c r="I117" i="8"/>
  <c r="I6" i="8"/>
  <c r="AH8" i="4" l="1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6" i="4"/>
  <c r="Z27" i="4"/>
  <c r="Z28" i="4"/>
  <c r="Z29" i="4"/>
  <c r="Z30" i="4"/>
  <c r="Z31" i="4"/>
  <c r="Z32" i="4"/>
  <c r="Z33" i="4"/>
  <c r="Z34" i="4"/>
  <c r="Z35" i="4"/>
  <c r="Z36" i="4"/>
  <c r="Z37" i="4"/>
  <c r="Z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6" i="4"/>
  <c r="W27" i="4"/>
  <c r="W28" i="4"/>
  <c r="W29" i="4"/>
  <c r="W30" i="4"/>
  <c r="W31" i="4"/>
  <c r="W32" i="4"/>
  <c r="W33" i="4"/>
  <c r="W34" i="4"/>
  <c r="W35" i="4"/>
  <c r="W36" i="4"/>
  <c r="W37" i="4"/>
  <c r="W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7" i="4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8" i="3"/>
  <c r="I8" i="3" s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8" i="3"/>
  <c r="E6" i="15" l="1"/>
  <c r="E7" i="15"/>
  <c r="A2" i="14" l="1"/>
  <c r="F9" i="14" l="1"/>
  <c r="G9" i="14" s="1"/>
  <c r="F17" i="3" l="1"/>
  <c r="B2" i="1" l="1"/>
  <c r="AA1" i="17"/>
  <c r="E3" i="17" s="1"/>
  <c r="F3" i="17" s="1"/>
  <c r="G3" i="17" s="1"/>
  <c r="H3" i="17" s="1"/>
  <c r="I3" i="17" s="1"/>
  <c r="J3" i="17" s="1"/>
  <c r="K3" i="17" s="1"/>
  <c r="L3" i="17" s="1"/>
  <c r="M3" i="17" s="1"/>
  <c r="N3" i="17" s="1"/>
  <c r="O3" i="17" s="1"/>
  <c r="P3" i="17" s="1"/>
  <c r="Q3" i="17" s="1"/>
  <c r="R3" i="17" s="1"/>
  <c r="S3" i="17" s="1"/>
  <c r="T3" i="17" s="1"/>
  <c r="U3" i="17" s="1"/>
  <c r="V3" i="17" s="1"/>
  <c r="W3" i="17" s="1"/>
  <c r="X3" i="17" s="1"/>
  <c r="Y3" i="17" s="1"/>
  <c r="Z3" i="17" s="1"/>
  <c r="AA3" i="17" s="1"/>
  <c r="AB3" i="17" s="1"/>
  <c r="AC3" i="17" s="1"/>
  <c r="AD3" i="17" s="1"/>
  <c r="AE3" i="17" s="1"/>
  <c r="AF3" i="17" s="1"/>
  <c r="AG3" i="17" s="1"/>
  <c r="AH3" i="17" s="1"/>
  <c r="AI3" i="17" s="1"/>
  <c r="A1" i="17"/>
  <c r="D6" i="16"/>
  <c r="D7" i="16"/>
  <c r="D8" i="16"/>
  <c r="D9" i="16"/>
  <c r="D10" i="16"/>
  <c r="D11" i="16"/>
  <c r="D13" i="16"/>
  <c r="D14" i="16"/>
  <c r="D5" i="16"/>
  <c r="AA1" i="15"/>
  <c r="Z1" i="16"/>
  <c r="A4" i="16"/>
  <c r="A4" i="15"/>
  <c r="F3" i="15"/>
  <c r="B5" i="14"/>
  <c r="A5" i="14" s="1"/>
  <c r="G41" i="14"/>
  <c r="E36" i="14"/>
  <c r="D36" i="14"/>
  <c r="J16" i="1" s="1"/>
  <c r="C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H9" i="14"/>
  <c r="J9" i="14" s="1"/>
  <c r="F8" i="14"/>
  <c r="F7" i="14"/>
  <c r="F6" i="14"/>
  <c r="F5" i="14"/>
  <c r="G10" i="14" l="1"/>
  <c r="H10" i="14" s="1"/>
  <c r="J10" i="14" s="1"/>
  <c r="G18" i="14"/>
  <c r="H18" i="14" s="1"/>
  <c r="J18" i="14" s="1"/>
  <c r="G22" i="14"/>
  <c r="H22" i="14" s="1"/>
  <c r="J22" i="14" s="1"/>
  <c r="G26" i="14"/>
  <c r="H26" i="14" s="1"/>
  <c r="J26" i="14" s="1"/>
  <c r="G30" i="14"/>
  <c r="H30" i="14" s="1"/>
  <c r="J30" i="14" s="1"/>
  <c r="G34" i="14"/>
  <c r="H34" i="14" s="1"/>
  <c r="J34" i="14" s="1"/>
  <c r="G5" i="14"/>
  <c r="H5" i="14" s="1"/>
  <c r="J5" i="14" s="1"/>
  <c r="G13" i="14"/>
  <c r="H13" i="14" s="1"/>
  <c r="J13" i="14" s="1"/>
  <c r="G21" i="14"/>
  <c r="H21" i="14" s="1"/>
  <c r="J21" i="14" s="1"/>
  <c r="G29" i="14"/>
  <c r="H29" i="14" s="1"/>
  <c r="J29" i="14" s="1"/>
  <c r="G6" i="14"/>
  <c r="H6" i="14" s="1"/>
  <c r="J6" i="14" s="1"/>
  <c r="G14" i="14"/>
  <c r="H14" i="14" s="1"/>
  <c r="J14" i="14" s="1"/>
  <c r="G7" i="14"/>
  <c r="H7" i="14" s="1"/>
  <c r="J7" i="14" s="1"/>
  <c r="G11" i="14"/>
  <c r="H11" i="14" s="1"/>
  <c r="J11" i="14" s="1"/>
  <c r="G15" i="14"/>
  <c r="H15" i="14" s="1"/>
  <c r="J15" i="14" s="1"/>
  <c r="G19" i="14"/>
  <c r="H19" i="14" s="1"/>
  <c r="J19" i="14" s="1"/>
  <c r="G23" i="14"/>
  <c r="H23" i="14" s="1"/>
  <c r="J23" i="14" s="1"/>
  <c r="G27" i="14"/>
  <c r="H27" i="14" s="1"/>
  <c r="J27" i="14" s="1"/>
  <c r="G31" i="14"/>
  <c r="H31" i="14" s="1"/>
  <c r="J31" i="14" s="1"/>
  <c r="G17" i="14"/>
  <c r="H17" i="14" s="1"/>
  <c r="J17" i="14" s="1"/>
  <c r="G25" i="14"/>
  <c r="H25" i="14" s="1"/>
  <c r="J25" i="14" s="1"/>
  <c r="G33" i="14"/>
  <c r="H33" i="14" s="1"/>
  <c r="J33" i="14" s="1"/>
  <c r="G8" i="14"/>
  <c r="H8" i="14" s="1"/>
  <c r="J8" i="14" s="1"/>
  <c r="G12" i="14"/>
  <c r="H12" i="14" s="1"/>
  <c r="J12" i="14" s="1"/>
  <c r="G16" i="14"/>
  <c r="H16" i="14" s="1"/>
  <c r="J16" i="14" s="1"/>
  <c r="G20" i="14"/>
  <c r="H20" i="14" s="1"/>
  <c r="J20" i="14" s="1"/>
  <c r="G24" i="14"/>
  <c r="H24" i="14" s="1"/>
  <c r="J24" i="14" s="1"/>
  <c r="G28" i="14"/>
  <c r="H28" i="14" s="1"/>
  <c r="J28" i="14" s="1"/>
  <c r="G32" i="14"/>
  <c r="H32" i="14" s="1"/>
  <c r="J32" i="14" s="1"/>
  <c r="H35" i="14"/>
  <c r="J35" i="14" s="1"/>
  <c r="I16" i="1"/>
  <c r="H41" i="14"/>
  <c r="O16" i="1"/>
  <c r="B6" i="14"/>
  <c r="F36" i="14"/>
  <c r="D40" i="14"/>
  <c r="E40" i="14" s="1"/>
  <c r="G36" i="14" l="1"/>
  <c r="I41" i="14" s="1"/>
  <c r="J41" i="14" s="1"/>
  <c r="B7" i="14"/>
  <c r="A6" i="14"/>
  <c r="E42" i="14"/>
  <c r="E41" i="14"/>
  <c r="H36" i="14" l="1"/>
  <c r="K16" i="1"/>
  <c r="M16" i="1" s="1"/>
  <c r="L16" i="1"/>
  <c r="N16" i="1"/>
  <c r="A7" i="14"/>
  <c r="B8" i="14"/>
  <c r="E43" i="14"/>
  <c r="B9" i="14" l="1"/>
  <c r="A8" i="14"/>
  <c r="B10" i="14" l="1"/>
  <c r="A9" i="14"/>
  <c r="B11" i="14" l="1"/>
  <c r="A10" i="14"/>
  <c r="B12" i="14" l="1"/>
  <c r="A11" i="14"/>
  <c r="B13" i="14" l="1"/>
  <c r="A12" i="14"/>
  <c r="B14" i="14" l="1"/>
  <c r="A13" i="14"/>
  <c r="B15" i="14" l="1"/>
  <c r="A14" i="14"/>
  <c r="B16" i="14" l="1"/>
  <c r="A15" i="14"/>
  <c r="B17" i="14" l="1"/>
  <c r="A16" i="14"/>
  <c r="B18" i="14" l="1"/>
  <c r="A17" i="14"/>
  <c r="B19" i="14" l="1"/>
  <c r="A18" i="14"/>
  <c r="B20" i="14" l="1"/>
  <c r="A19" i="14"/>
  <c r="B21" i="14" l="1"/>
  <c r="A20" i="14"/>
  <c r="B22" i="14" l="1"/>
  <c r="A21" i="14"/>
  <c r="B23" i="14" l="1"/>
  <c r="A22" i="14"/>
  <c r="B24" i="14" l="1"/>
  <c r="A23" i="14"/>
  <c r="B25" i="14" l="1"/>
  <c r="A24" i="14"/>
  <c r="B26" i="14" l="1"/>
  <c r="A25" i="14"/>
  <c r="B27" i="14" l="1"/>
  <c r="A26" i="14"/>
  <c r="B28" i="14" l="1"/>
  <c r="A27" i="14"/>
  <c r="B29" i="14" l="1"/>
  <c r="A28" i="14"/>
  <c r="B30" i="14" l="1"/>
  <c r="A29" i="14"/>
  <c r="B31" i="14" l="1"/>
  <c r="A30" i="14"/>
  <c r="B32" i="14" l="1"/>
  <c r="A31" i="14"/>
  <c r="B33" i="14" l="1"/>
  <c r="A32" i="14"/>
  <c r="B34" i="14" l="1"/>
  <c r="A33" i="14"/>
  <c r="B35" i="14" l="1"/>
  <c r="A35" i="14" s="1"/>
  <c r="A34" i="14"/>
  <c r="B2" i="13" l="1"/>
  <c r="I15" i="1"/>
  <c r="AX9" i="13"/>
  <c r="BA9" i="13" s="1"/>
  <c r="AT9" i="13"/>
  <c r="AV9" i="13" s="1"/>
  <c r="N9" i="13"/>
  <c r="AX8" i="13"/>
  <c r="BA8" i="13" s="1"/>
  <c r="AT8" i="13"/>
  <c r="AV8" i="13" s="1"/>
  <c r="N8" i="13"/>
  <c r="AX7" i="13"/>
  <c r="AT7" i="13"/>
  <c r="AV7" i="13" s="1"/>
  <c r="N7" i="13"/>
  <c r="AX6" i="13"/>
  <c r="BA6" i="13" s="1"/>
  <c r="AT6" i="13"/>
  <c r="N6" i="13"/>
  <c r="O5" i="13"/>
  <c r="P5" i="13" s="1"/>
  <c r="AT8" i="11"/>
  <c r="AU8" i="11" s="1"/>
  <c r="AW8" i="11" s="1"/>
  <c r="AX8" i="11"/>
  <c r="BA8" i="11" s="1"/>
  <c r="AT9" i="11"/>
  <c r="AU9" i="11" s="1"/>
  <c r="AW9" i="11" s="1"/>
  <c r="AX9" i="11"/>
  <c r="BA9" i="11" s="1"/>
  <c r="AT8" i="12"/>
  <c r="AX8" i="12"/>
  <c r="BA8" i="12" s="1"/>
  <c r="AT9" i="12"/>
  <c r="AV9" i="12" s="1"/>
  <c r="AX9" i="12"/>
  <c r="BA9" i="12" s="1"/>
  <c r="AT10" i="12"/>
  <c r="AX10" i="12"/>
  <c r="BA10" i="12" s="1"/>
  <c r="AT11" i="12"/>
  <c r="AV11" i="12" s="1"/>
  <c r="AX11" i="12"/>
  <c r="BA11" i="12" s="1"/>
  <c r="N7" i="12"/>
  <c r="N6" i="11"/>
  <c r="N8" i="12"/>
  <c r="N9" i="12"/>
  <c r="N10" i="12"/>
  <c r="N11" i="12"/>
  <c r="N6" i="12"/>
  <c r="B2" i="12"/>
  <c r="AZ12" i="12"/>
  <c r="AY12" i="12"/>
  <c r="AR12" i="12"/>
  <c r="AQ12" i="12"/>
  <c r="AP12" i="12"/>
  <c r="AO12" i="12"/>
  <c r="AN12" i="12"/>
  <c r="AM12" i="12"/>
  <c r="AL12" i="12"/>
  <c r="AK12" i="12"/>
  <c r="AJ12" i="12"/>
  <c r="AI12" i="12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I12" i="12"/>
  <c r="I14" i="1" s="1"/>
  <c r="H12" i="12"/>
  <c r="AX7" i="12"/>
  <c r="BA7" i="12" s="1"/>
  <c r="AT7" i="12"/>
  <c r="AV7" i="12" s="1"/>
  <c r="AX6" i="12"/>
  <c r="AT6" i="12"/>
  <c r="O5" i="12"/>
  <c r="P5" i="12" s="1"/>
  <c r="N15" i="13" l="1"/>
  <c r="BA7" i="13"/>
  <c r="BA15" i="13" s="1"/>
  <c r="AX15" i="13"/>
  <c r="O15" i="1" s="1"/>
  <c r="AV6" i="13"/>
  <c r="AV15" i="13" s="1"/>
  <c r="M15" i="1" s="1"/>
  <c r="AT15" i="13"/>
  <c r="K15" i="1" s="1"/>
  <c r="AU11" i="12"/>
  <c r="AW11" i="12" s="1"/>
  <c r="O4" i="12"/>
  <c r="AU10" i="12"/>
  <c r="AW10" i="12" s="1"/>
  <c r="AU9" i="12"/>
  <c r="AW9" i="12" s="1"/>
  <c r="AU9" i="13"/>
  <c r="AW9" i="13" s="1"/>
  <c r="AU8" i="12"/>
  <c r="AW8" i="12" s="1"/>
  <c r="AV9" i="11"/>
  <c r="AU6" i="13"/>
  <c r="AU7" i="13"/>
  <c r="AW7" i="13" s="1"/>
  <c r="Q5" i="13"/>
  <c r="P4" i="13"/>
  <c r="AU8" i="13"/>
  <c r="AW8" i="13" s="1"/>
  <c r="J15" i="1"/>
  <c r="O4" i="13"/>
  <c r="AV8" i="11"/>
  <c r="AV10" i="12"/>
  <c r="AV8" i="12"/>
  <c r="N12" i="12"/>
  <c r="J14" i="1" s="1"/>
  <c r="AX12" i="12"/>
  <c r="O14" i="1" s="1"/>
  <c r="AT12" i="12"/>
  <c r="K14" i="1" s="1"/>
  <c r="AU6" i="12"/>
  <c r="AW6" i="12" s="1"/>
  <c r="AU7" i="12"/>
  <c r="AW7" i="12" s="1"/>
  <c r="BA6" i="12"/>
  <c r="BA12" i="12" s="1"/>
  <c r="Q5" i="12"/>
  <c r="P4" i="12"/>
  <c r="AV6" i="12"/>
  <c r="AW6" i="13" l="1"/>
  <c r="AW15" i="13" s="1"/>
  <c r="N15" i="1" s="1"/>
  <c r="AU15" i="13"/>
  <c r="AV12" i="12"/>
  <c r="M14" i="1" s="1"/>
  <c r="R5" i="13"/>
  <c r="Q4" i="13"/>
  <c r="L15" i="1"/>
  <c r="AW12" i="12"/>
  <c r="N14" i="1" s="1"/>
  <c r="AU12" i="12"/>
  <c r="L14" i="1" s="1"/>
  <c r="R5" i="12"/>
  <c r="Q4" i="12"/>
  <c r="B2" i="11"/>
  <c r="AZ10" i="11"/>
  <c r="AY10" i="11"/>
  <c r="AR10" i="11"/>
  <c r="AQ10" i="11"/>
  <c r="AP10" i="11"/>
  <c r="AO10" i="11"/>
  <c r="AN10" i="11"/>
  <c r="AM10" i="11"/>
  <c r="AL10" i="11"/>
  <c r="AK10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I10" i="11"/>
  <c r="I13" i="1" s="1"/>
  <c r="H10" i="11"/>
  <c r="AX7" i="11"/>
  <c r="BA7" i="11" s="1"/>
  <c r="AT7" i="11"/>
  <c r="AV7" i="11" s="1"/>
  <c r="N7" i="11"/>
  <c r="N10" i="11" s="1"/>
  <c r="J13" i="1" s="1"/>
  <c r="AX6" i="11"/>
  <c r="BA6" i="11" s="1"/>
  <c r="AT6" i="11"/>
  <c r="AV6" i="11" s="1"/>
  <c r="O5" i="11"/>
  <c r="O4" i="11" s="1"/>
  <c r="J5" i="8"/>
  <c r="K5" i="8" s="1"/>
  <c r="K4" i="8" s="1"/>
  <c r="K5" i="9"/>
  <c r="B6" i="10"/>
  <c r="C6" i="10" s="1"/>
  <c r="B2" i="10"/>
  <c r="H37" i="10"/>
  <c r="G37" i="10"/>
  <c r="F37" i="10"/>
  <c r="E37" i="10"/>
  <c r="K36" i="10"/>
  <c r="J36" i="10"/>
  <c r="K35" i="10"/>
  <c r="N35" i="10" s="1"/>
  <c r="J35" i="10"/>
  <c r="M35" i="10" s="1"/>
  <c r="K34" i="10"/>
  <c r="J34" i="10"/>
  <c r="K33" i="10"/>
  <c r="J33" i="10"/>
  <c r="K32" i="10"/>
  <c r="J32" i="10"/>
  <c r="K31" i="10"/>
  <c r="J31" i="10"/>
  <c r="K30" i="10"/>
  <c r="J30" i="10"/>
  <c r="K29" i="10"/>
  <c r="J29" i="10"/>
  <c r="K28" i="10"/>
  <c r="J28" i="10"/>
  <c r="K27" i="10"/>
  <c r="J27" i="10"/>
  <c r="K26" i="10"/>
  <c r="J26" i="10"/>
  <c r="K25" i="10"/>
  <c r="J25" i="10"/>
  <c r="K24" i="10"/>
  <c r="J24" i="10"/>
  <c r="K23" i="10"/>
  <c r="J23" i="10"/>
  <c r="K22" i="10"/>
  <c r="J22" i="10"/>
  <c r="K21" i="10"/>
  <c r="J21" i="10"/>
  <c r="K20" i="10"/>
  <c r="J20" i="10"/>
  <c r="K19" i="10"/>
  <c r="J19" i="10"/>
  <c r="K18" i="10"/>
  <c r="J18" i="10"/>
  <c r="K17" i="10"/>
  <c r="J17" i="10"/>
  <c r="K16" i="10"/>
  <c r="J16" i="10"/>
  <c r="K15" i="10"/>
  <c r="J15" i="10"/>
  <c r="K14" i="10"/>
  <c r="J14" i="10"/>
  <c r="K13" i="10"/>
  <c r="J13" i="10"/>
  <c r="K12" i="10"/>
  <c r="J12" i="10"/>
  <c r="K11" i="10"/>
  <c r="J11" i="10"/>
  <c r="K10" i="10"/>
  <c r="J10" i="10"/>
  <c r="K9" i="10"/>
  <c r="J9" i="10"/>
  <c r="K8" i="10"/>
  <c r="J8" i="10"/>
  <c r="K7" i="10"/>
  <c r="J7" i="10"/>
  <c r="K6" i="10"/>
  <c r="J6" i="10"/>
  <c r="AX81" i="9"/>
  <c r="AW123" i="8"/>
  <c r="B2" i="9"/>
  <c r="B2" i="8"/>
  <c r="B2" i="7"/>
  <c r="B2" i="6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K81" i="9"/>
  <c r="I81" i="9"/>
  <c r="I11" i="1" s="1"/>
  <c r="H81" i="9"/>
  <c r="AT80" i="9"/>
  <c r="AW80" i="9" s="1"/>
  <c r="AP80" i="9"/>
  <c r="AR80" i="9" s="1"/>
  <c r="AT79" i="9"/>
  <c r="AW79" i="9" s="1"/>
  <c r="AP79" i="9"/>
  <c r="AR79" i="9" s="1"/>
  <c r="AT78" i="9"/>
  <c r="AW78" i="9" s="1"/>
  <c r="AP78" i="9"/>
  <c r="AR78" i="9" s="1"/>
  <c r="AT77" i="9"/>
  <c r="AW77" i="9" s="1"/>
  <c r="AP77" i="9"/>
  <c r="AT76" i="9"/>
  <c r="AW76" i="9" s="1"/>
  <c r="AP76" i="9"/>
  <c r="AR76" i="9" s="1"/>
  <c r="AT75" i="9"/>
  <c r="AW75" i="9" s="1"/>
  <c r="AP75" i="9"/>
  <c r="AR75" i="9" s="1"/>
  <c r="AT74" i="9"/>
  <c r="AW74" i="9" s="1"/>
  <c r="AP74" i="9"/>
  <c r="AR74" i="9" s="1"/>
  <c r="AT73" i="9"/>
  <c r="AW73" i="9" s="1"/>
  <c r="AP73" i="9"/>
  <c r="AR73" i="9" s="1"/>
  <c r="AT72" i="9"/>
  <c r="AW72" i="9" s="1"/>
  <c r="AP72" i="9"/>
  <c r="AR72" i="9" s="1"/>
  <c r="AT71" i="9"/>
  <c r="AW71" i="9" s="1"/>
  <c r="AP71" i="9"/>
  <c r="AR71" i="9" s="1"/>
  <c r="AT70" i="9"/>
  <c r="AW70" i="9" s="1"/>
  <c r="AP70" i="9"/>
  <c r="AR70" i="9" s="1"/>
  <c r="AT69" i="9"/>
  <c r="AW69" i="9" s="1"/>
  <c r="AP69" i="9"/>
  <c r="AR69" i="9" s="1"/>
  <c r="AT68" i="9"/>
  <c r="AW68" i="9" s="1"/>
  <c r="AP68" i="9"/>
  <c r="AR68" i="9" s="1"/>
  <c r="AT67" i="9"/>
  <c r="AW67" i="9" s="1"/>
  <c r="AP67" i="9"/>
  <c r="AR67" i="9" s="1"/>
  <c r="AT66" i="9"/>
  <c r="AW66" i="9" s="1"/>
  <c r="AP66" i="9"/>
  <c r="AR66" i="9" s="1"/>
  <c r="AT65" i="9"/>
  <c r="AW65" i="9" s="1"/>
  <c r="AP65" i="9"/>
  <c r="AR65" i="9" s="1"/>
  <c r="AT64" i="9"/>
  <c r="AW64" i="9" s="1"/>
  <c r="AP64" i="9"/>
  <c r="AR64" i="9" s="1"/>
  <c r="AT63" i="9"/>
  <c r="AW63" i="9" s="1"/>
  <c r="AP63" i="9"/>
  <c r="AR63" i="9" s="1"/>
  <c r="AT62" i="9"/>
  <c r="AW62" i="9" s="1"/>
  <c r="AP62" i="9"/>
  <c r="AR62" i="9" s="1"/>
  <c r="AT61" i="9"/>
  <c r="AW61" i="9" s="1"/>
  <c r="AP61" i="9"/>
  <c r="AR61" i="9" s="1"/>
  <c r="AT60" i="9"/>
  <c r="AW60" i="9" s="1"/>
  <c r="AP60" i="9"/>
  <c r="AR60" i="9" s="1"/>
  <c r="AT59" i="9"/>
  <c r="AW59" i="9" s="1"/>
  <c r="AP59" i="9"/>
  <c r="AR59" i="9" s="1"/>
  <c r="AT58" i="9"/>
  <c r="AW58" i="9" s="1"/>
  <c r="AP58" i="9"/>
  <c r="AR58" i="9" s="1"/>
  <c r="AT57" i="9"/>
  <c r="AW57" i="9" s="1"/>
  <c r="AP57" i="9"/>
  <c r="AR57" i="9" s="1"/>
  <c r="AT56" i="9"/>
  <c r="AW56" i="9" s="1"/>
  <c r="AP56" i="9"/>
  <c r="AR56" i="9" s="1"/>
  <c r="AT55" i="9"/>
  <c r="AW55" i="9" s="1"/>
  <c r="AP55" i="9"/>
  <c r="AR55" i="9" s="1"/>
  <c r="AT54" i="9"/>
  <c r="AW54" i="9" s="1"/>
  <c r="AP54" i="9"/>
  <c r="AR54" i="9" s="1"/>
  <c r="AT53" i="9"/>
  <c r="AW53" i="9" s="1"/>
  <c r="AP53" i="9"/>
  <c r="AT52" i="9"/>
  <c r="AW52" i="9" s="1"/>
  <c r="AP52" i="9"/>
  <c r="AR52" i="9" s="1"/>
  <c r="AT51" i="9"/>
  <c r="AW51" i="9" s="1"/>
  <c r="AP51" i="9"/>
  <c r="AR51" i="9" s="1"/>
  <c r="AT50" i="9"/>
  <c r="AW50" i="9" s="1"/>
  <c r="AP50" i="9"/>
  <c r="AT49" i="9"/>
  <c r="AW49" i="9" s="1"/>
  <c r="AP49" i="9"/>
  <c r="AR49" i="9" s="1"/>
  <c r="AT48" i="9"/>
  <c r="AW48" i="9" s="1"/>
  <c r="AP48" i="9"/>
  <c r="AR48" i="9" s="1"/>
  <c r="AT47" i="9"/>
  <c r="AW47" i="9" s="1"/>
  <c r="AP47" i="9"/>
  <c r="AR47" i="9" s="1"/>
  <c r="AT46" i="9"/>
  <c r="AW46" i="9" s="1"/>
  <c r="AP46" i="9"/>
  <c r="AT45" i="9"/>
  <c r="AW45" i="9" s="1"/>
  <c r="AP45" i="9"/>
  <c r="AR45" i="9" s="1"/>
  <c r="AT44" i="9"/>
  <c r="AW44" i="9" s="1"/>
  <c r="AP44" i="9"/>
  <c r="AR44" i="9" s="1"/>
  <c r="AT43" i="9"/>
  <c r="AW43" i="9" s="1"/>
  <c r="AP43" i="9"/>
  <c r="AR43" i="9" s="1"/>
  <c r="AT42" i="9"/>
  <c r="AW42" i="9" s="1"/>
  <c r="AP42" i="9"/>
  <c r="AT41" i="9"/>
  <c r="AW41" i="9" s="1"/>
  <c r="AP41" i="9"/>
  <c r="AR41" i="9" s="1"/>
  <c r="AT40" i="9"/>
  <c r="AW40" i="9" s="1"/>
  <c r="AP40" i="9"/>
  <c r="AR40" i="9" s="1"/>
  <c r="AT39" i="9"/>
  <c r="AW39" i="9" s="1"/>
  <c r="AP39" i="9"/>
  <c r="AR39" i="9" s="1"/>
  <c r="AT38" i="9"/>
  <c r="AW38" i="9" s="1"/>
  <c r="AP38" i="9"/>
  <c r="AR38" i="9" s="1"/>
  <c r="AT37" i="9"/>
  <c r="AW37" i="9" s="1"/>
  <c r="AP37" i="9"/>
  <c r="AT36" i="9"/>
  <c r="AW36" i="9" s="1"/>
  <c r="AP36" i="9"/>
  <c r="AT35" i="9"/>
  <c r="AW35" i="9" s="1"/>
  <c r="AP35" i="9"/>
  <c r="AR35" i="9" s="1"/>
  <c r="AT34" i="9"/>
  <c r="AW34" i="9" s="1"/>
  <c r="AP34" i="9"/>
  <c r="AR34" i="9" s="1"/>
  <c r="AT33" i="9"/>
  <c r="AW33" i="9" s="1"/>
  <c r="AP33" i="9"/>
  <c r="AR33" i="9" s="1"/>
  <c r="AT32" i="9"/>
  <c r="AW32" i="9" s="1"/>
  <c r="AP32" i="9"/>
  <c r="AR32" i="9" s="1"/>
  <c r="AT31" i="9"/>
  <c r="AW31" i="9" s="1"/>
  <c r="AP31" i="9"/>
  <c r="AR31" i="9" s="1"/>
  <c r="AT30" i="9"/>
  <c r="AW30" i="9" s="1"/>
  <c r="AP30" i="9"/>
  <c r="AR30" i="9" s="1"/>
  <c r="AT29" i="9"/>
  <c r="AW29" i="9" s="1"/>
  <c r="AP29" i="9"/>
  <c r="AR29" i="9" s="1"/>
  <c r="AT28" i="9"/>
  <c r="AW28" i="9" s="1"/>
  <c r="AP28" i="9"/>
  <c r="AT27" i="9"/>
  <c r="AW27" i="9" s="1"/>
  <c r="AP27" i="9"/>
  <c r="AR27" i="9" s="1"/>
  <c r="AT26" i="9"/>
  <c r="AW26" i="9" s="1"/>
  <c r="AP26" i="9"/>
  <c r="AR26" i="9" s="1"/>
  <c r="AT25" i="9"/>
  <c r="AW25" i="9" s="1"/>
  <c r="AP25" i="9"/>
  <c r="AR25" i="9" s="1"/>
  <c r="AT24" i="9"/>
  <c r="AW24" i="9" s="1"/>
  <c r="AP24" i="9"/>
  <c r="AT23" i="9"/>
  <c r="AW23" i="9" s="1"/>
  <c r="AP23" i="9"/>
  <c r="AR23" i="9" s="1"/>
  <c r="AT22" i="9"/>
  <c r="AW22" i="9" s="1"/>
  <c r="AP22" i="9"/>
  <c r="AR22" i="9" s="1"/>
  <c r="AT21" i="9"/>
  <c r="AW21" i="9" s="1"/>
  <c r="AP21" i="9"/>
  <c r="AR21" i="9" s="1"/>
  <c r="AT20" i="9"/>
  <c r="AW20" i="9" s="1"/>
  <c r="AP20" i="9"/>
  <c r="AR20" i="9" s="1"/>
  <c r="AT19" i="9"/>
  <c r="AW19" i="9" s="1"/>
  <c r="AP19" i="9"/>
  <c r="AR19" i="9" s="1"/>
  <c r="AT18" i="9"/>
  <c r="AW18" i="9" s="1"/>
  <c r="AP18" i="9"/>
  <c r="AT17" i="9"/>
  <c r="AW17" i="9" s="1"/>
  <c r="AP17" i="9"/>
  <c r="AR17" i="9" s="1"/>
  <c r="AT16" i="9"/>
  <c r="AW16" i="9" s="1"/>
  <c r="AP16" i="9"/>
  <c r="AR16" i="9" s="1"/>
  <c r="AT15" i="9"/>
  <c r="AW15" i="9" s="1"/>
  <c r="AP15" i="9"/>
  <c r="AT14" i="9"/>
  <c r="AW14" i="9" s="1"/>
  <c r="AP14" i="9"/>
  <c r="AR14" i="9" s="1"/>
  <c r="AT13" i="9"/>
  <c r="AW13" i="9" s="1"/>
  <c r="AP13" i="9"/>
  <c r="AR13" i="9" s="1"/>
  <c r="AT12" i="9"/>
  <c r="AW12" i="9" s="1"/>
  <c r="AP12" i="9"/>
  <c r="AR12" i="9" s="1"/>
  <c r="AT11" i="9"/>
  <c r="AW11" i="9" s="1"/>
  <c r="AP11" i="9"/>
  <c r="AR11" i="9" s="1"/>
  <c r="AT10" i="9"/>
  <c r="AW10" i="9" s="1"/>
  <c r="AP10" i="9"/>
  <c r="AT9" i="9"/>
  <c r="AW9" i="9" s="1"/>
  <c r="AP9" i="9"/>
  <c r="AR9" i="9" s="1"/>
  <c r="AT8" i="9"/>
  <c r="AW8" i="9" s="1"/>
  <c r="AP8" i="9"/>
  <c r="AR8" i="9" s="1"/>
  <c r="AT7" i="9"/>
  <c r="AW7" i="9" s="1"/>
  <c r="AP7" i="9"/>
  <c r="AR7" i="9" s="1"/>
  <c r="AT6" i="9"/>
  <c r="AP6" i="9"/>
  <c r="AR6" i="9" s="1"/>
  <c r="AO109" i="8"/>
  <c r="AQ109" i="8" s="1"/>
  <c r="AS109" i="8"/>
  <c r="AV109" i="8" s="1"/>
  <c r="AO110" i="8"/>
  <c r="AQ110" i="8" s="1"/>
  <c r="AS110" i="8"/>
  <c r="AV110" i="8" s="1"/>
  <c r="AO111" i="8"/>
  <c r="AQ111" i="8" s="1"/>
  <c r="AS111" i="8"/>
  <c r="AV111" i="8" s="1"/>
  <c r="AO112" i="8"/>
  <c r="AS112" i="8"/>
  <c r="AV112" i="8" s="1"/>
  <c r="AO113" i="8"/>
  <c r="AQ113" i="8" s="1"/>
  <c r="AS113" i="8"/>
  <c r="AV113" i="8" s="1"/>
  <c r="AO114" i="8"/>
  <c r="AQ114" i="8" s="1"/>
  <c r="AS114" i="8"/>
  <c r="AV114" i="8" s="1"/>
  <c r="AO115" i="8"/>
  <c r="AQ115" i="8" s="1"/>
  <c r="AS115" i="8"/>
  <c r="AV115" i="8" s="1"/>
  <c r="AO116" i="8"/>
  <c r="AS116" i="8"/>
  <c r="AV116" i="8" s="1"/>
  <c r="AO117" i="8"/>
  <c r="AQ117" i="8" s="1"/>
  <c r="AS117" i="8"/>
  <c r="AV117" i="8" s="1"/>
  <c r="AO118" i="8"/>
  <c r="AQ118" i="8" s="1"/>
  <c r="AS118" i="8"/>
  <c r="AV118" i="8" s="1"/>
  <c r="AO119" i="8"/>
  <c r="AQ119" i="8" s="1"/>
  <c r="AS119" i="8"/>
  <c r="AV119" i="8" s="1"/>
  <c r="AO121" i="8"/>
  <c r="AQ121" i="8" s="1"/>
  <c r="AS121" i="8"/>
  <c r="AV121" i="8" s="1"/>
  <c r="I118" i="8"/>
  <c r="I119" i="8"/>
  <c r="G123" i="8"/>
  <c r="H123" i="8"/>
  <c r="I10" i="1" s="1"/>
  <c r="I121" i="8"/>
  <c r="AS108" i="8"/>
  <c r="AV108" i="8" s="1"/>
  <c r="AO108" i="8"/>
  <c r="AQ108" i="8" s="1"/>
  <c r="AS106" i="8"/>
  <c r="AV106" i="8" s="1"/>
  <c r="AO106" i="8"/>
  <c r="AQ106" i="8" s="1"/>
  <c r="AS105" i="8"/>
  <c r="AV105" i="8" s="1"/>
  <c r="AO105" i="8"/>
  <c r="AQ105" i="8" s="1"/>
  <c r="AS104" i="8"/>
  <c r="AV104" i="8" s="1"/>
  <c r="AO104" i="8"/>
  <c r="AQ104" i="8" s="1"/>
  <c r="AS103" i="8"/>
  <c r="AV103" i="8" s="1"/>
  <c r="AO103" i="8"/>
  <c r="AQ103" i="8" s="1"/>
  <c r="AS102" i="8"/>
  <c r="AV102" i="8" s="1"/>
  <c r="AO102" i="8"/>
  <c r="AQ102" i="8" s="1"/>
  <c r="AS101" i="8"/>
  <c r="AV101" i="8" s="1"/>
  <c r="AO101" i="8"/>
  <c r="AQ101" i="8" s="1"/>
  <c r="AS99" i="8"/>
  <c r="AV99" i="8" s="1"/>
  <c r="AO99" i="8"/>
  <c r="AQ99" i="8" s="1"/>
  <c r="AS98" i="8"/>
  <c r="AV98" i="8" s="1"/>
  <c r="AO98" i="8"/>
  <c r="AQ98" i="8" s="1"/>
  <c r="AS97" i="8"/>
  <c r="AV97" i="8" s="1"/>
  <c r="AO97" i="8"/>
  <c r="AQ97" i="8" s="1"/>
  <c r="AS96" i="8"/>
  <c r="AV96" i="8" s="1"/>
  <c r="AO96" i="8"/>
  <c r="AQ96" i="8" s="1"/>
  <c r="AS95" i="8"/>
  <c r="AV95" i="8" s="1"/>
  <c r="AO95" i="8"/>
  <c r="AQ95" i="8" s="1"/>
  <c r="AS94" i="8"/>
  <c r="AV94" i="8" s="1"/>
  <c r="AO94" i="8"/>
  <c r="AQ94" i="8" s="1"/>
  <c r="AS93" i="8"/>
  <c r="AV93" i="8" s="1"/>
  <c r="AO93" i="8"/>
  <c r="AQ93" i="8" s="1"/>
  <c r="AS92" i="8"/>
  <c r="AV92" i="8" s="1"/>
  <c r="AO92" i="8"/>
  <c r="AQ92" i="8" s="1"/>
  <c r="AS91" i="8"/>
  <c r="AV91" i="8" s="1"/>
  <c r="AO91" i="8"/>
  <c r="AQ91" i="8" s="1"/>
  <c r="AS90" i="8"/>
  <c r="AV90" i="8" s="1"/>
  <c r="AO90" i="8"/>
  <c r="AQ90" i="8" s="1"/>
  <c r="AS89" i="8"/>
  <c r="AV89" i="8" s="1"/>
  <c r="AO89" i="8"/>
  <c r="AQ89" i="8" s="1"/>
  <c r="AS88" i="8"/>
  <c r="AV88" i="8" s="1"/>
  <c r="AO88" i="8"/>
  <c r="AQ88" i="8" s="1"/>
  <c r="AS87" i="8"/>
  <c r="AV87" i="8" s="1"/>
  <c r="AO87" i="8"/>
  <c r="AQ87" i="8" s="1"/>
  <c r="AS86" i="8"/>
  <c r="AV86" i="8" s="1"/>
  <c r="AO86" i="8"/>
  <c r="AQ86" i="8" s="1"/>
  <c r="AS85" i="8"/>
  <c r="AV85" i="8" s="1"/>
  <c r="AO85" i="8"/>
  <c r="AQ85" i="8" s="1"/>
  <c r="AS84" i="8"/>
  <c r="AV84" i="8" s="1"/>
  <c r="AO84" i="8"/>
  <c r="AQ84" i="8" s="1"/>
  <c r="AS83" i="8"/>
  <c r="AV83" i="8" s="1"/>
  <c r="AO83" i="8"/>
  <c r="AQ83" i="8" s="1"/>
  <c r="AS82" i="8"/>
  <c r="AV82" i="8" s="1"/>
  <c r="AO82" i="8"/>
  <c r="AQ82" i="8" s="1"/>
  <c r="AS81" i="8"/>
  <c r="AV81" i="8" s="1"/>
  <c r="AO81" i="8"/>
  <c r="AQ81" i="8" s="1"/>
  <c r="AS80" i="8"/>
  <c r="AV80" i="8" s="1"/>
  <c r="AO80" i="8"/>
  <c r="AQ80" i="8" s="1"/>
  <c r="AS79" i="8"/>
  <c r="AV79" i="8" s="1"/>
  <c r="AO79" i="8"/>
  <c r="AQ79" i="8" s="1"/>
  <c r="AS78" i="8"/>
  <c r="AV78" i="8" s="1"/>
  <c r="AO78" i="8"/>
  <c r="AQ78" i="8" s="1"/>
  <c r="AS77" i="8"/>
  <c r="AV77" i="8" s="1"/>
  <c r="AO77" i="8"/>
  <c r="AQ77" i="8" s="1"/>
  <c r="AS76" i="8"/>
  <c r="AV76" i="8" s="1"/>
  <c r="AO76" i="8"/>
  <c r="AQ76" i="8" s="1"/>
  <c r="AS75" i="8"/>
  <c r="AV75" i="8" s="1"/>
  <c r="AO75" i="8"/>
  <c r="AQ75" i="8" s="1"/>
  <c r="AS74" i="8"/>
  <c r="AV74" i="8" s="1"/>
  <c r="AO74" i="8"/>
  <c r="AQ74" i="8" s="1"/>
  <c r="AS73" i="8"/>
  <c r="AV73" i="8" s="1"/>
  <c r="AO73" i="8"/>
  <c r="AQ73" i="8" s="1"/>
  <c r="AS72" i="8"/>
  <c r="AV72" i="8" s="1"/>
  <c r="AO72" i="8"/>
  <c r="AQ72" i="8" s="1"/>
  <c r="AS71" i="8"/>
  <c r="AV71" i="8" s="1"/>
  <c r="AO71" i="8"/>
  <c r="AQ71" i="8" s="1"/>
  <c r="AS70" i="8"/>
  <c r="AV70" i="8" s="1"/>
  <c r="AO70" i="8"/>
  <c r="AQ70" i="8" s="1"/>
  <c r="AS69" i="8"/>
  <c r="AV69" i="8" s="1"/>
  <c r="AO69" i="8"/>
  <c r="AQ69" i="8" s="1"/>
  <c r="AS68" i="8"/>
  <c r="AV68" i="8" s="1"/>
  <c r="AO68" i="8"/>
  <c r="AQ68" i="8" s="1"/>
  <c r="AS67" i="8"/>
  <c r="AV67" i="8" s="1"/>
  <c r="AO67" i="8"/>
  <c r="AQ67" i="8" s="1"/>
  <c r="AS66" i="8"/>
  <c r="AV66" i="8" s="1"/>
  <c r="AO66" i="8"/>
  <c r="AQ66" i="8" s="1"/>
  <c r="AS65" i="8"/>
  <c r="AV65" i="8" s="1"/>
  <c r="AO65" i="8"/>
  <c r="AQ65" i="8" s="1"/>
  <c r="AS64" i="8"/>
  <c r="AV64" i="8" s="1"/>
  <c r="AO64" i="8"/>
  <c r="AQ64" i="8" s="1"/>
  <c r="AS63" i="8"/>
  <c r="AV63" i="8" s="1"/>
  <c r="AO63" i="8"/>
  <c r="AQ63" i="8" s="1"/>
  <c r="AS62" i="8"/>
  <c r="AV62" i="8" s="1"/>
  <c r="AO62" i="8"/>
  <c r="AQ62" i="8" s="1"/>
  <c r="AS61" i="8"/>
  <c r="AV61" i="8" s="1"/>
  <c r="AO61" i="8"/>
  <c r="AQ61" i="8" s="1"/>
  <c r="AS60" i="8"/>
  <c r="AV60" i="8" s="1"/>
  <c r="AO60" i="8"/>
  <c r="AQ60" i="8" s="1"/>
  <c r="AS59" i="8"/>
  <c r="AV59" i="8" s="1"/>
  <c r="AO59" i="8"/>
  <c r="AQ59" i="8" s="1"/>
  <c r="AS58" i="8"/>
  <c r="AV58" i="8" s="1"/>
  <c r="AO58" i="8"/>
  <c r="AQ58" i="8" s="1"/>
  <c r="AS57" i="8"/>
  <c r="AV57" i="8" s="1"/>
  <c r="AO57" i="8"/>
  <c r="AS56" i="8"/>
  <c r="AV56" i="8" s="1"/>
  <c r="AO56" i="8"/>
  <c r="AQ56" i="8" s="1"/>
  <c r="AS55" i="8"/>
  <c r="AV55" i="8" s="1"/>
  <c r="AO55" i="8"/>
  <c r="AQ55" i="8" s="1"/>
  <c r="AS54" i="8"/>
  <c r="AV54" i="8" s="1"/>
  <c r="AO54" i="8"/>
  <c r="AQ54" i="8" s="1"/>
  <c r="AS53" i="8"/>
  <c r="AV53" i="8" s="1"/>
  <c r="AO53" i="8"/>
  <c r="AQ53" i="8" s="1"/>
  <c r="AS52" i="8"/>
  <c r="AV52" i="8" s="1"/>
  <c r="AO52" i="8"/>
  <c r="AQ52" i="8" s="1"/>
  <c r="AS51" i="8"/>
  <c r="AV51" i="8" s="1"/>
  <c r="AO51" i="8"/>
  <c r="AQ51" i="8" s="1"/>
  <c r="AS50" i="8"/>
  <c r="AV50" i="8" s="1"/>
  <c r="AO50" i="8"/>
  <c r="AQ50" i="8" s="1"/>
  <c r="AS49" i="8"/>
  <c r="AV49" i="8" s="1"/>
  <c r="AO49" i="8"/>
  <c r="AQ49" i="8" s="1"/>
  <c r="AS48" i="8"/>
  <c r="AV48" i="8" s="1"/>
  <c r="AO48" i="8"/>
  <c r="AQ48" i="8" s="1"/>
  <c r="AS47" i="8"/>
  <c r="AV47" i="8" s="1"/>
  <c r="AO47" i="8"/>
  <c r="AQ47" i="8" s="1"/>
  <c r="AS46" i="8"/>
  <c r="AV46" i="8" s="1"/>
  <c r="AO46" i="8"/>
  <c r="AQ46" i="8" s="1"/>
  <c r="AS45" i="8"/>
  <c r="AV45" i="8" s="1"/>
  <c r="AO45" i="8"/>
  <c r="AQ45" i="8" s="1"/>
  <c r="AS44" i="8"/>
  <c r="AV44" i="8" s="1"/>
  <c r="AO44" i="8"/>
  <c r="AQ44" i="8" s="1"/>
  <c r="AS43" i="8"/>
  <c r="AV43" i="8" s="1"/>
  <c r="AO43" i="8"/>
  <c r="AQ43" i="8" s="1"/>
  <c r="AS42" i="8"/>
  <c r="AV42" i="8" s="1"/>
  <c r="AO42" i="8"/>
  <c r="AQ42" i="8" s="1"/>
  <c r="AS41" i="8"/>
  <c r="AV41" i="8" s="1"/>
  <c r="AO41" i="8"/>
  <c r="AQ41" i="8" s="1"/>
  <c r="AS40" i="8"/>
  <c r="AV40" i="8" s="1"/>
  <c r="AO40" i="8"/>
  <c r="AQ40" i="8" s="1"/>
  <c r="AS39" i="8"/>
  <c r="AV39" i="8" s="1"/>
  <c r="AO39" i="8"/>
  <c r="AQ39" i="8" s="1"/>
  <c r="AS38" i="8"/>
  <c r="AV38" i="8" s="1"/>
  <c r="AO38" i="8"/>
  <c r="AQ38" i="8" s="1"/>
  <c r="AS37" i="8"/>
  <c r="AV37" i="8" s="1"/>
  <c r="AO37" i="8"/>
  <c r="AQ37" i="8" s="1"/>
  <c r="AS36" i="8"/>
  <c r="AV36" i="8" s="1"/>
  <c r="AO36" i="8"/>
  <c r="AQ36" i="8" s="1"/>
  <c r="AS35" i="8"/>
  <c r="AV35" i="8" s="1"/>
  <c r="AO35" i="8"/>
  <c r="AQ35" i="8" s="1"/>
  <c r="AS34" i="8"/>
  <c r="AV34" i="8" s="1"/>
  <c r="AO34" i="8"/>
  <c r="AQ34" i="8" s="1"/>
  <c r="AS33" i="8"/>
  <c r="AV33" i="8" s="1"/>
  <c r="AO33" i="8"/>
  <c r="AQ33" i="8" s="1"/>
  <c r="AS32" i="8"/>
  <c r="AV32" i="8" s="1"/>
  <c r="AO32" i="8"/>
  <c r="AQ32" i="8" s="1"/>
  <c r="AS31" i="8"/>
  <c r="AV31" i="8" s="1"/>
  <c r="AO31" i="8"/>
  <c r="AQ31" i="8" s="1"/>
  <c r="AS30" i="8"/>
  <c r="AV30" i="8" s="1"/>
  <c r="AO30" i="8"/>
  <c r="AQ30" i="8" s="1"/>
  <c r="AS29" i="8"/>
  <c r="AV29" i="8" s="1"/>
  <c r="AO29" i="8"/>
  <c r="AQ29" i="8" s="1"/>
  <c r="AS28" i="8"/>
  <c r="AV28" i="8" s="1"/>
  <c r="AO28" i="8"/>
  <c r="AQ28" i="8" s="1"/>
  <c r="AS27" i="8"/>
  <c r="AV27" i="8" s="1"/>
  <c r="AO27" i="8"/>
  <c r="AQ27" i="8" s="1"/>
  <c r="AS26" i="8"/>
  <c r="AV26" i="8" s="1"/>
  <c r="AO26" i="8"/>
  <c r="AQ26" i="8" s="1"/>
  <c r="AS25" i="8"/>
  <c r="AV25" i="8" s="1"/>
  <c r="AO25" i="8"/>
  <c r="AQ25" i="8" s="1"/>
  <c r="AS24" i="8"/>
  <c r="AV24" i="8" s="1"/>
  <c r="AO24" i="8"/>
  <c r="AQ24" i="8" s="1"/>
  <c r="AS23" i="8"/>
  <c r="AV23" i="8" s="1"/>
  <c r="AO23" i="8"/>
  <c r="AQ23" i="8" s="1"/>
  <c r="AS22" i="8"/>
  <c r="AV22" i="8" s="1"/>
  <c r="AO22" i="8"/>
  <c r="AQ22" i="8" s="1"/>
  <c r="AS21" i="8"/>
  <c r="AV21" i="8" s="1"/>
  <c r="AO21" i="8"/>
  <c r="AQ21" i="8" s="1"/>
  <c r="AS19" i="8"/>
  <c r="AV19" i="8" s="1"/>
  <c r="AO19" i="8"/>
  <c r="AQ19" i="8" s="1"/>
  <c r="AS18" i="8"/>
  <c r="AV18" i="8" s="1"/>
  <c r="AO18" i="8"/>
  <c r="AQ18" i="8" s="1"/>
  <c r="AS17" i="8"/>
  <c r="AV17" i="8" s="1"/>
  <c r="AO17" i="8"/>
  <c r="AQ17" i="8" s="1"/>
  <c r="AS16" i="8"/>
  <c r="AV16" i="8" s="1"/>
  <c r="AO16" i="8"/>
  <c r="AQ16" i="8" s="1"/>
  <c r="AS15" i="8"/>
  <c r="AV15" i="8" s="1"/>
  <c r="AO15" i="8"/>
  <c r="AQ15" i="8" s="1"/>
  <c r="AS13" i="8"/>
  <c r="AV13" i="8" s="1"/>
  <c r="AO13" i="8"/>
  <c r="AQ13" i="8" s="1"/>
  <c r="AS12" i="8"/>
  <c r="AV12" i="8" s="1"/>
  <c r="AO12" i="8"/>
  <c r="AQ12" i="8" s="1"/>
  <c r="AS11" i="8"/>
  <c r="AV11" i="8" s="1"/>
  <c r="AO11" i="8"/>
  <c r="AQ11" i="8" s="1"/>
  <c r="AS10" i="8"/>
  <c r="AV10" i="8" s="1"/>
  <c r="AO10" i="8"/>
  <c r="AQ10" i="8" s="1"/>
  <c r="AS9" i="8"/>
  <c r="AV9" i="8" s="1"/>
  <c r="AO9" i="8"/>
  <c r="AQ9" i="8" s="1"/>
  <c r="AS8" i="8"/>
  <c r="AV8" i="8" s="1"/>
  <c r="AO8" i="8"/>
  <c r="AQ8" i="8" s="1"/>
  <c r="AS7" i="8"/>
  <c r="AV7" i="8" s="1"/>
  <c r="AO7" i="8"/>
  <c r="AS6" i="8"/>
  <c r="AO6" i="8"/>
  <c r="AT7" i="7"/>
  <c r="AX7" i="7"/>
  <c r="BA7" i="7" s="1"/>
  <c r="AT8" i="7"/>
  <c r="AV8" i="7" s="1"/>
  <c r="AX8" i="7"/>
  <c r="BA8" i="7" s="1"/>
  <c r="AT9" i="7"/>
  <c r="AX9" i="7"/>
  <c r="BA9" i="7" s="1"/>
  <c r="AT10" i="7"/>
  <c r="AV10" i="7" s="1"/>
  <c r="AX10" i="7"/>
  <c r="BA10" i="7" s="1"/>
  <c r="AT11" i="7"/>
  <c r="AX11" i="7"/>
  <c r="BA11" i="7" s="1"/>
  <c r="AT12" i="7"/>
  <c r="AV12" i="7" s="1"/>
  <c r="AX12" i="7"/>
  <c r="BA12" i="7" s="1"/>
  <c r="AT13" i="7"/>
  <c r="AX13" i="7"/>
  <c r="BA13" i="7" s="1"/>
  <c r="AT14" i="7"/>
  <c r="AV14" i="7" s="1"/>
  <c r="AX14" i="7"/>
  <c r="BA14" i="7" s="1"/>
  <c r="AT15" i="7"/>
  <c r="AX15" i="7"/>
  <c r="BA15" i="7" s="1"/>
  <c r="AT16" i="7"/>
  <c r="AX16" i="7"/>
  <c r="BA16" i="7" s="1"/>
  <c r="AT17" i="7"/>
  <c r="AX17" i="7"/>
  <c r="BA17" i="7" s="1"/>
  <c r="AT18" i="7"/>
  <c r="AX18" i="7"/>
  <c r="BA18" i="7" s="1"/>
  <c r="AT19" i="7"/>
  <c r="AX19" i="7"/>
  <c r="BA19" i="7" s="1"/>
  <c r="AT20" i="7"/>
  <c r="AX20" i="7"/>
  <c r="BA20" i="7" s="1"/>
  <c r="AT21" i="7"/>
  <c r="AX21" i="7"/>
  <c r="BA21" i="7" s="1"/>
  <c r="AT22" i="7"/>
  <c r="AV22" i="7" s="1"/>
  <c r="AX22" i="7"/>
  <c r="BA22" i="7" s="1"/>
  <c r="AT23" i="7"/>
  <c r="AX23" i="7"/>
  <c r="BA23" i="7" s="1"/>
  <c r="AT24" i="7"/>
  <c r="AV24" i="7" s="1"/>
  <c r="AX24" i="7"/>
  <c r="BA24" i="7" s="1"/>
  <c r="AT25" i="7"/>
  <c r="AX25" i="7"/>
  <c r="BA25" i="7" s="1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AZ27" i="7"/>
  <c r="AY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I27" i="7"/>
  <c r="I9" i="1" s="1"/>
  <c r="H27" i="7"/>
  <c r="AX26" i="7"/>
  <c r="BA26" i="7" s="1"/>
  <c r="AT26" i="7"/>
  <c r="AV26" i="7" s="1"/>
  <c r="N26" i="7"/>
  <c r="N25" i="7"/>
  <c r="AX6" i="7"/>
  <c r="AT6" i="7"/>
  <c r="AV6" i="7" s="1"/>
  <c r="N6" i="7"/>
  <c r="O5" i="7"/>
  <c r="O4" i="7" s="1"/>
  <c r="N8" i="6"/>
  <c r="N7" i="6"/>
  <c r="N6" i="6"/>
  <c r="O5" i="6"/>
  <c r="P5" i="6" s="1"/>
  <c r="AZ9" i="6"/>
  <c r="AY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I9" i="6"/>
  <c r="I8" i="1" s="1"/>
  <c r="H9" i="6"/>
  <c r="AX8" i="6"/>
  <c r="BA8" i="6" s="1"/>
  <c r="AT8" i="6"/>
  <c r="AV8" i="6" s="1"/>
  <c r="AX7" i="6"/>
  <c r="AT7" i="6"/>
  <c r="AV7" i="6" s="1"/>
  <c r="AX6" i="6"/>
  <c r="BA6" i="6" s="1"/>
  <c r="AT6" i="6"/>
  <c r="AV6" i="6" s="1"/>
  <c r="I99" i="2"/>
  <c r="M20" i="1" s="1"/>
  <c r="N20" i="1" s="1"/>
  <c r="O20" i="1" s="1"/>
  <c r="L99" i="2"/>
  <c r="AD2" i="4"/>
  <c r="AD7" i="4"/>
  <c r="V7" i="4"/>
  <c r="L7" i="4"/>
  <c r="B7" i="4"/>
  <c r="K8" i="3"/>
  <c r="K9" i="3" s="1"/>
  <c r="K10" i="3" s="1"/>
  <c r="B8" i="3"/>
  <c r="B7" i="3" s="1"/>
  <c r="C7" i="1"/>
  <c r="AV6" i="8" l="1"/>
  <c r="AV123" i="8" s="1"/>
  <c r="AS123" i="8"/>
  <c r="O10" i="1" s="1"/>
  <c r="AQ57" i="8"/>
  <c r="AO123" i="8"/>
  <c r="K10" i="1" s="1"/>
  <c r="AQ7" i="8"/>
  <c r="AP7" i="8"/>
  <c r="AR7" i="8" s="1"/>
  <c r="AQ6" i="8"/>
  <c r="AP6" i="8"/>
  <c r="AR6" i="8" s="1"/>
  <c r="AP117" i="8"/>
  <c r="AR117" i="8" s="1"/>
  <c r="AP114" i="8"/>
  <c r="AR114" i="8" s="1"/>
  <c r="AP110" i="8"/>
  <c r="AR110" i="8" s="1"/>
  <c r="AP113" i="8"/>
  <c r="AR113" i="8" s="1"/>
  <c r="AU10" i="7"/>
  <c r="AW10" i="7" s="1"/>
  <c r="AP119" i="8"/>
  <c r="AR119" i="8" s="1"/>
  <c r="AP111" i="8"/>
  <c r="AR111" i="8" s="1"/>
  <c r="AU8" i="7"/>
  <c r="AW8" i="7" s="1"/>
  <c r="AP33" i="8"/>
  <c r="AR33" i="8" s="1"/>
  <c r="AQ15" i="9"/>
  <c r="AS15" i="9" s="1"/>
  <c r="AQ55" i="9"/>
  <c r="AS55" i="9" s="1"/>
  <c r="AQ23" i="9"/>
  <c r="AS23" i="9" s="1"/>
  <c r="AU7" i="6"/>
  <c r="AW7" i="6" s="1"/>
  <c r="AP116" i="8"/>
  <c r="AR116" i="8" s="1"/>
  <c r="AQ37" i="9"/>
  <c r="AS37" i="9" s="1"/>
  <c r="AP101" i="8"/>
  <c r="AR101" i="8" s="1"/>
  <c r="AQ62" i="9"/>
  <c r="AS62" i="9" s="1"/>
  <c r="AQ26" i="9"/>
  <c r="AS26" i="9" s="1"/>
  <c r="AP112" i="8"/>
  <c r="AR112" i="8" s="1"/>
  <c r="M6" i="10"/>
  <c r="AP118" i="8"/>
  <c r="AR118" i="8" s="1"/>
  <c r="A6" i="10"/>
  <c r="B7" i="10"/>
  <c r="A7" i="10" s="1"/>
  <c r="AU25" i="7"/>
  <c r="AW25" i="7" s="1"/>
  <c r="AP9" i="8"/>
  <c r="AR9" i="8" s="1"/>
  <c r="AP121" i="8"/>
  <c r="AR121" i="8" s="1"/>
  <c r="AP109" i="8"/>
  <c r="AR109" i="8" s="1"/>
  <c r="AU24" i="7"/>
  <c r="AW24" i="7" s="1"/>
  <c r="AP12" i="8"/>
  <c r="AR12" i="8" s="1"/>
  <c r="AP17" i="8"/>
  <c r="AR17" i="8" s="1"/>
  <c r="AP55" i="8"/>
  <c r="AR55" i="8" s="1"/>
  <c r="AQ116" i="8"/>
  <c r="AP115" i="8"/>
  <c r="AR115" i="8" s="1"/>
  <c r="AQ112" i="8"/>
  <c r="AQ56" i="9"/>
  <c r="AS56" i="9" s="1"/>
  <c r="AU22" i="7"/>
  <c r="AW22" i="7" s="1"/>
  <c r="AU7" i="7"/>
  <c r="AW7" i="7" s="1"/>
  <c r="AU23" i="7"/>
  <c r="AW23" i="7" s="1"/>
  <c r="AU20" i="7"/>
  <c r="AW20" i="7" s="1"/>
  <c r="AU14" i="7"/>
  <c r="AW14" i="7" s="1"/>
  <c r="AU16" i="7"/>
  <c r="AW16" i="7" s="1"/>
  <c r="AU9" i="7"/>
  <c r="AW9" i="7" s="1"/>
  <c r="AV20" i="7"/>
  <c r="AU19" i="7"/>
  <c r="AW19" i="7" s="1"/>
  <c r="AV16" i="7"/>
  <c r="AU15" i="7"/>
  <c r="AW15" i="7" s="1"/>
  <c r="AU11" i="7"/>
  <c r="AW11" i="7" s="1"/>
  <c r="AU18" i="7"/>
  <c r="AW18" i="7" s="1"/>
  <c r="AU21" i="7"/>
  <c r="AW21" i="7" s="1"/>
  <c r="AU17" i="7"/>
  <c r="AW17" i="7" s="1"/>
  <c r="AU12" i="7"/>
  <c r="AW12" i="7" s="1"/>
  <c r="AV18" i="7"/>
  <c r="AP63" i="8"/>
  <c r="AR63" i="8" s="1"/>
  <c r="S5" i="13"/>
  <c r="R4" i="13"/>
  <c r="S5" i="12"/>
  <c r="R4" i="12"/>
  <c r="AV10" i="11"/>
  <c r="M13" i="1" s="1"/>
  <c r="AU7" i="11"/>
  <c r="AW7" i="11" s="1"/>
  <c r="BA10" i="11"/>
  <c r="AT10" i="11"/>
  <c r="K13" i="1" s="1"/>
  <c r="AU6" i="11"/>
  <c r="AW6" i="11" s="1"/>
  <c r="AX10" i="11"/>
  <c r="O13" i="1" s="1"/>
  <c r="P5" i="11"/>
  <c r="Q5" i="11" s="1"/>
  <c r="R5" i="11" s="1"/>
  <c r="N6" i="10"/>
  <c r="K37" i="10"/>
  <c r="J37" i="10"/>
  <c r="AQ16" i="9"/>
  <c r="AS16" i="9" s="1"/>
  <c r="AQ35" i="9"/>
  <c r="AS35" i="9" s="1"/>
  <c r="AR37" i="9"/>
  <c r="AQ9" i="9"/>
  <c r="AS9" i="9" s="1"/>
  <c r="AR15" i="9"/>
  <c r="AQ25" i="9"/>
  <c r="AS25" i="9" s="1"/>
  <c r="AQ38" i="9"/>
  <c r="AS38" i="9" s="1"/>
  <c r="AQ58" i="9"/>
  <c r="AS58" i="9" s="1"/>
  <c r="AQ59" i="9"/>
  <c r="AS59" i="9" s="1"/>
  <c r="AQ22" i="9"/>
  <c r="AS22" i="9" s="1"/>
  <c r="AQ64" i="9"/>
  <c r="AS64" i="9" s="1"/>
  <c r="AQ69" i="9"/>
  <c r="AS69" i="9" s="1"/>
  <c r="AQ70" i="9"/>
  <c r="AS70" i="9" s="1"/>
  <c r="AQ71" i="9"/>
  <c r="AS71" i="9" s="1"/>
  <c r="AQ73" i="9"/>
  <c r="AS73" i="9" s="1"/>
  <c r="AQ80" i="9"/>
  <c r="AS80" i="9" s="1"/>
  <c r="AQ7" i="9"/>
  <c r="AS7" i="9" s="1"/>
  <c r="AQ8" i="9"/>
  <c r="AS8" i="9" s="1"/>
  <c r="AQ12" i="9"/>
  <c r="AS12" i="9" s="1"/>
  <c r="AQ33" i="9"/>
  <c r="AS33" i="9" s="1"/>
  <c r="AQ34" i="9"/>
  <c r="AS34" i="9" s="1"/>
  <c r="AQ10" i="9"/>
  <c r="AS10" i="9" s="1"/>
  <c r="AQ24" i="9"/>
  <c r="AS24" i="9" s="1"/>
  <c r="AQ11" i="9"/>
  <c r="AS11" i="9" s="1"/>
  <c r="AQ17" i="9"/>
  <c r="AS17" i="9" s="1"/>
  <c r="AQ20" i="9"/>
  <c r="AS20" i="9" s="1"/>
  <c r="AQ27" i="9"/>
  <c r="AS27" i="9" s="1"/>
  <c r="AQ31" i="9"/>
  <c r="AS31" i="9" s="1"/>
  <c r="AQ39" i="9"/>
  <c r="AS39" i="9" s="1"/>
  <c r="AQ41" i="9"/>
  <c r="AS41" i="9" s="1"/>
  <c r="AQ47" i="9"/>
  <c r="AS47" i="9" s="1"/>
  <c r="AQ51" i="9"/>
  <c r="AS51" i="9" s="1"/>
  <c r="AQ52" i="9"/>
  <c r="AS52" i="9" s="1"/>
  <c r="AQ54" i="9"/>
  <c r="AS54" i="9" s="1"/>
  <c r="AQ61" i="9"/>
  <c r="AS61" i="9" s="1"/>
  <c r="AQ78" i="9"/>
  <c r="AS78" i="9" s="1"/>
  <c r="AQ79" i="9"/>
  <c r="AS79" i="9" s="1"/>
  <c r="AQ13" i="9"/>
  <c r="AS13" i="9" s="1"/>
  <c r="AQ19" i="9"/>
  <c r="AS19" i="9" s="1"/>
  <c r="AQ29" i="9"/>
  <c r="AS29" i="9" s="1"/>
  <c r="AQ30" i="9"/>
  <c r="AS30" i="9" s="1"/>
  <c r="AQ43" i="9"/>
  <c r="AS43" i="9" s="1"/>
  <c r="AQ44" i="9"/>
  <c r="AS44" i="9" s="1"/>
  <c r="AQ48" i="9"/>
  <c r="AS48" i="9" s="1"/>
  <c r="AQ49" i="9"/>
  <c r="AS49" i="9" s="1"/>
  <c r="AQ57" i="9"/>
  <c r="AS57" i="9" s="1"/>
  <c r="AQ60" i="9"/>
  <c r="AS60" i="9" s="1"/>
  <c r="AQ63" i="9"/>
  <c r="AS63" i="9" s="1"/>
  <c r="AQ65" i="9"/>
  <c r="AS65" i="9" s="1"/>
  <c r="AQ66" i="9"/>
  <c r="AS66" i="9" s="1"/>
  <c r="AQ74" i="9"/>
  <c r="AS74" i="9" s="1"/>
  <c r="AQ75" i="9"/>
  <c r="AS75" i="9" s="1"/>
  <c r="AT81" i="9"/>
  <c r="O11" i="1" s="1"/>
  <c r="AQ28" i="9"/>
  <c r="AS28" i="9" s="1"/>
  <c r="AQ18" i="9"/>
  <c r="AS18" i="9" s="1"/>
  <c r="AQ36" i="9"/>
  <c r="AS36" i="9" s="1"/>
  <c r="L5" i="9"/>
  <c r="K4" i="9"/>
  <c r="AR50" i="9"/>
  <c r="AQ50" i="9"/>
  <c r="AS50" i="9" s="1"/>
  <c r="AQ6" i="9"/>
  <c r="AQ14" i="9"/>
  <c r="AS14" i="9" s="1"/>
  <c r="AQ21" i="9"/>
  <c r="AS21" i="9" s="1"/>
  <c r="AQ32" i="9"/>
  <c r="AS32" i="9" s="1"/>
  <c r="AQ40" i="9"/>
  <c r="AS40" i="9" s="1"/>
  <c r="AR42" i="9"/>
  <c r="AQ42" i="9"/>
  <c r="AS42" i="9" s="1"/>
  <c r="AR53" i="9"/>
  <c r="AQ53" i="9"/>
  <c r="AS53" i="9" s="1"/>
  <c r="AR77" i="9"/>
  <c r="AQ77" i="9"/>
  <c r="AS77" i="9" s="1"/>
  <c r="AR10" i="9"/>
  <c r="AR18" i="9"/>
  <c r="AR24" i="9"/>
  <c r="AR28" i="9"/>
  <c r="AR36" i="9"/>
  <c r="AQ45" i="9"/>
  <c r="AS45" i="9" s="1"/>
  <c r="AR46" i="9"/>
  <c r="AQ46" i="9"/>
  <c r="AS46" i="9" s="1"/>
  <c r="AQ68" i="9"/>
  <c r="AS68" i="9" s="1"/>
  <c r="AQ72" i="9"/>
  <c r="AS72" i="9" s="1"/>
  <c r="AQ76" i="9"/>
  <c r="AS76" i="9" s="1"/>
  <c r="AP81" i="9"/>
  <c r="K11" i="1" s="1"/>
  <c r="AW6" i="9"/>
  <c r="AW81" i="9" s="1"/>
  <c r="J81" i="9"/>
  <c r="J11" i="1" s="1"/>
  <c r="AQ67" i="9"/>
  <c r="AS67" i="9" s="1"/>
  <c r="AU13" i="7"/>
  <c r="AW13" i="7" s="1"/>
  <c r="AP31" i="8"/>
  <c r="AR31" i="8" s="1"/>
  <c r="AP42" i="8"/>
  <c r="AR42" i="8" s="1"/>
  <c r="AP62" i="8"/>
  <c r="AR62" i="8" s="1"/>
  <c r="AP11" i="8"/>
  <c r="AR11" i="8" s="1"/>
  <c r="AP71" i="8"/>
  <c r="AR71" i="8" s="1"/>
  <c r="AP79" i="8"/>
  <c r="AR79" i="8" s="1"/>
  <c r="AP78" i="8"/>
  <c r="AR78" i="8" s="1"/>
  <c r="AP105" i="8"/>
  <c r="AR105" i="8" s="1"/>
  <c r="AP18" i="8"/>
  <c r="AR18" i="8" s="1"/>
  <c r="AP53" i="8"/>
  <c r="AR53" i="8" s="1"/>
  <c r="AP61" i="8"/>
  <c r="AR61" i="8" s="1"/>
  <c r="AP69" i="8"/>
  <c r="AR69" i="8" s="1"/>
  <c r="AP46" i="8"/>
  <c r="AR46" i="8" s="1"/>
  <c r="AP16" i="8"/>
  <c r="AR16" i="8" s="1"/>
  <c r="AP23" i="8"/>
  <c r="AR23" i="8" s="1"/>
  <c r="AP24" i="8"/>
  <c r="AR24" i="8" s="1"/>
  <c r="AP38" i="8"/>
  <c r="AR38" i="8" s="1"/>
  <c r="AP39" i="8"/>
  <c r="AR39" i="8" s="1"/>
  <c r="AP40" i="8"/>
  <c r="AR40" i="8" s="1"/>
  <c r="AP77" i="8"/>
  <c r="AR77" i="8" s="1"/>
  <c r="AP97" i="8"/>
  <c r="AR97" i="8" s="1"/>
  <c r="AP45" i="8"/>
  <c r="AR45" i="8" s="1"/>
  <c r="J4" i="8"/>
  <c r="AP21" i="8"/>
  <c r="AR21" i="8" s="1"/>
  <c r="AP22" i="8"/>
  <c r="AR22" i="8" s="1"/>
  <c r="AP34" i="8"/>
  <c r="AR34" i="8" s="1"/>
  <c r="AP35" i="8"/>
  <c r="AR35" i="8" s="1"/>
  <c r="AP54" i="8"/>
  <c r="AR54" i="8" s="1"/>
  <c r="AP70" i="8"/>
  <c r="AR70" i="8" s="1"/>
  <c r="AP86" i="8"/>
  <c r="AR86" i="8" s="1"/>
  <c r="AP87" i="8"/>
  <c r="AR87" i="8" s="1"/>
  <c r="AP94" i="8"/>
  <c r="AR94" i="8" s="1"/>
  <c r="AP95" i="8"/>
  <c r="AR95" i="8" s="1"/>
  <c r="AP15" i="8"/>
  <c r="AR15" i="8" s="1"/>
  <c r="AP19" i="8"/>
  <c r="AR19" i="8" s="1"/>
  <c r="AP29" i="8"/>
  <c r="AR29" i="8" s="1"/>
  <c r="AP30" i="8"/>
  <c r="AR30" i="8" s="1"/>
  <c r="AP85" i="8"/>
  <c r="AR85" i="8" s="1"/>
  <c r="AP93" i="8"/>
  <c r="AR93" i="8" s="1"/>
  <c r="AP106" i="8"/>
  <c r="AR106" i="8" s="1"/>
  <c r="AP108" i="8"/>
  <c r="AR108" i="8" s="1"/>
  <c r="AP43" i="8"/>
  <c r="AR43" i="8" s="1"/>
  <c r="AP44" i="8"/>
  <c r="AR44" i="8" s="1"/>
  <c r="AP50" i="8"/>
  <c r="AR50" i="8" s="1"/>
  <c r="AP51" i="8"/>
  <c r="AR51" i="8" s="1"/>
  <c r="AP58" i="8"/>
  <c r="AR58" i="8" s="1"/>
  <c r="AP59" i="8"/>
  <c r="AR59" i="8" s="1"/>
  <c r="AP66" i="8"/>
  <c r="AR66" i="8" s="1"/>
  <c r="AP67" i="8"/>
  <c r="AR67" i="8" s="1"/>
  <c r="AP74" i="8"/>
  <c r="AR74" i="8" s="1"/>
  <c r="AP75" i="8"/>
  <c r="AR75" i="8" s="1"/>
  <c r="AP82" i="8"/>
  <c r="AR82" i="8" s="1"/>
  <c r="AP83" i="8"/>
  <c r="AR83" i="8" s="1"/>
  <c r="AP90" i="8"/>
  <c r="AR90" i="8" s="1"/>
  <c r="AP91" i="8"/>
  <c r="AR91" i="8" s="1"/>
  <c r="AP102" i="8"/>
  <c r="AR102" i="8" s="1"/>
  <c r="AP103" i="8"/>
  <c r="AR103" i="8" s="1"/>
  <c r="AP8" i="8"/>
  <c r="AR8" i="8" s="1"/>
  <c r="AP10" i="8"/>
  <c r="AR10" i="8" s="1"/>
  <c r="AP13" i="8"/>
  <c r="AR13" i="8" s="1"/>
  <c r="AP25" i="8"/>
  <c r="AR25" i="8" s="1"/>
  <c r="AP26" i="8"/>
  <c r="AR26" i="8" s="1"/>
  <c r="AP27" i="8"/>
  <c r="AR27" i="8" s="1"/>
  <c r="AP47" i="8"/>
  <c r="AR47" i="8" s="1"/>
  <c r="AP49" i="8"/>
  <c r="AR49" i="8" s="1"/>
  <c r="AP57" i="8"/>
  <c r="AP65" i="8"/>
  <c r="AR65" i="8" s="1"/>
  <c r="AP73" i="8"/>
  <c r="AR73" i="8" s="1"/>
  <c r="AP81" i="8"/>
  <c r="AR81" i="8" s="1"/>
  <c r="AP89" i="8"/>
  <c r="AR89" i="8" s="1"/>
  <c r="AP98" i="8"/>
  <c r="AR98" i="8" s="1"/>
  <c r="AP99" i="8"/>
  <c r="AR99" i="8" s="1"/>
  <c r="L5" i="8"/>
  <c r="M5" i="8" s="1"/>
  <c r="N5" i="8" s="1"/>
  <c r="AP37" i="8"/>
  <c r="AR37" i="8" s="1"/>
  <c r="AP28" i="8"/>
  <c r="AR28" i="8" s="1"/>
  <c r="AP32" i="8"/>
  <c r="AR32" i="8" s="1"/>
  <c r="AP41" i="8"/>
  <c r="AR41" i="8" s="1"/>
  <c r="AP48" i="8"/>
  <c r="AR48" i="8" s="1"/>
  <c r="AP36" i="8"/>
  <c r="AR36" i="8" s="1"/>
  <c r="AP52" i="8"/>
  <c r="AR52" i="8" s="1"/>
  <c r="AP56" i="8"/>
  <c r="AR56" i="8" s="1"/>
  <c r="AP60" i="8"/>
  <c r="AR60" i="8" s="1"/>
  <c r="AP64" i="8"/>
  <c r="AR64" i="8" s="1"/>
  <c r="AP68" i="8"/>
  <c r="AR68" i="8" s="1"/>
  <c r="AP72" i="8"/>
  <c r="AR72" i="8" s="1"/>
  <c r="AP76" i="8"/>
  <c r="AR76" i="8" s="1"/>
  <c r="AP80" i="8"/>
  <c r="AR80" i="8" s="1"/>
  <c r="AP84" i="8"/>
  <c r="AR84" i="8" s="1"/>
  <c r="AP88" i="8"/>
  <c r="AR88" i="8" s="1"/>
  <c r="AP92" i="8"/>
  <c r="AR92" i="8" s="1"/>
  <c r="AP96" i="8"/>
  <c r="AR96" i="8" s="1"/>
  <c r="AP104" i="8"/>
  <c r="AR104" i="8" s="1"/>
  <c r="AU6" i="7"/>
  <c r="AW6" i="7" s="1"/>
  <c r="AV25" i="7"/>
  <c r="AV23" i="7"/>
  <c r="AV21" i="7"/>
  <c r="AV19" i="7"/>
  <c r="AV17" i="7"/>
  <c r="AV15" i="7"/>
  <c r="AV13" i="7"/>
  <c r="AV11" i="7"/>
  <c r="AV9" i="7"/>
  <c r="AV7" i="7"/>
  <c r="AX27" i="7"/>
  <c r="O9" i="1" s="1"/>
  <c r="BA6" i="7"/>
  <c r="BA27" i="7" s="1"/>
  <c r="N27" i="7"/>
  <c r="J9" i="1" s="1"/>
  <c r="AU26" i="7"/>
  <c r="AW26" i="7" s="1"/>
  <c r="AT27" i="7"/>
  <c r="K9" i="1" s="1"/>
  <c r="P5" i="7"/>
  <c r="Q5" i="7" s="1"/>
  <c r="R5" i="7" s="1"/>
  <c r="AU6" i="6"/>
  <c r="AW6" i="6" s="1"/>
  <c r="AU8" i="6"/>
  <c r="AW8" i="6" s="1"/>
  <c r="AV9" i="6"/>
  <c r="M8" i="1" s="1"/>
  <c r="AX9" i="6"/>
  <c r="O8" i="1" s="1"/>
  <c r="Q5" i="6"/>
  <c r="Q4" i="6" s="1"/>
  <c r="P4" i="6"/>
  <c r="O4" i="6"/>
  <c r="BA7" i="6"/>
  <c r="N9" i="6"/>
  <c r="J8" i="1" s="1"/>
  <c r="AT9" i="6"/>
  <c r="K8" i="1" s="1"/>
  <c r="K7" i="3"/>
  <c r="B9" i="3"/>
  <c r="B10" i="3" s="1"/>
  <c r="B11" i="3" s="1"/>
  <c r="B12" i="3" s="1"/>
  <c r="B13" i="3" s="1"/>
  <c r="AQ123" i="8" l="1"/>
  <c r="M10" i="1" s="1"/>
  <c r="AR57" i="8"/>
  <c r="AR123" i="8" s="1"/>
  <c r="N10" i="1" s="1"/>
  <c r="AP123" i="8"/>
  <c r="L10" i="1" s="1"/>
  <c r="C7" i="10"/>
  <c r="M7" i="10" s="1"/>
  <c r="B8" i="10"/>
  <c r="B9" i="10" s="1"/>
  <c r="I12" i="1"/>
  <c r="J12" i="1" s="1"/>
  <c r="K12" i="1"/>
  <c r="L12" i="1" s="1"/>
  <c r="T5" i="13"/>
  <c r="S4" i="13"/>
  <c r="T5" i="12"/>
  <c r="S4" i="12"/>
  <c r="AW10" i="11"/>
  <c r="N13" i="1" s="1"/>
  <c r="AU10" i="11"/>
  <c r="L13" i="1" s="1"/>
  <c r="P4" i="11"/>
  <c r="Q4" i="11"/>
  <c r="S5" i="11"/>
  <c r="R4" i="11"/>
  <c r="AR81" i="9"/>
  <c r="M11" i="1" s="1"/>
  <c r="AQ81" i="9"/>
  <c r="L11" i="1" s="1"/>
  <c r="AS6" i="9"/>
  <c r="AS81" i="9" s="1"/>
  <c r="N11" i="1" s="1"/>
  <c r="M5" i="9"/>
  <c r="L4" i="9"/>
  <c r="AV27" i="7"/>
  <c r="M9" i="1" s="1"/>
  <c r="I123" i="8"/>
  <c r="J10" i="1" s="1"/>
  <c r="L4" i="8"/>
  <c r="M4" i="8"/>
  <c r="O5" i="8"/>
  <c r="N4" i="8"/>
  <c r="AW27" i="7"/>
  <c r="N9" i="1" s="1"/>
  <c r="AU27" i="7"/>
  <c r="L9" i="1" s="1"/>
  <c r="P4" i="7"/>
  <c r="Q4" i="7"/>
  <c r="S5" i="7"/>
  <c r="R4" i="7"/>
  <c r="BA9" i="6"/>
  <c r="R5" i="6"/>
  <c r="S5" i="6" s="1"/>
  <c r="AU9" i="6"/>
  <c r="L8" i="1" s="1"/>
  <c r="AW9" i="6"/>
  <c r="N8" i="1" s="1"/>
  <c r="C8" i="10" l="1"/>
  <c r="M8" i="10" s="1"/>
  <c r="N7" i="10"/>
  <c r="A8" i="10"/>
  <c r="T4" i="13"/>
  <c r="U5" i="13"/>
  <c r="U5" i="12"/>
  <c r="T4" i="12"/>
  <c r="T5" i="11"/>
  <c r="S4" i="11"/>
  <c r="C9" i="10"/>
  <c r="B10" i="10"/>
  <c r="A9" i="10"/>
  <c r="N5" i="9"/>
  <c r="M4" i="9"/>
  <c r="O4" i="8"/>
  <c r="P5" i="8"/>
  <c r="T5" i="7"/>
  <c r="S4" i="7"/>
  <c r="R4" i="6"/>
  <c r="T5" i="6"/>
  <c r="S4" i="6"/>
  <c r="N8" i="10" l="1"/>
  <c r="V5" i="13"/>
  <c r="U4" i="13"/>
  <c r="V5" i="12"/>
  <c r="U4" i="12"/>
  <c r="U5" i="11"/>
  <c r="T4" i="11"/>
  <c r="C10" i="10"/>
  <c r="B11" i="10"/>
  <c r="A10" i="10"/>
  <c r="M9" i="10"/>
  <c r="N9" i="10"/>
  <c r="O5" i="9"/>
  <c r="N4" i="9"/>
  <c r="Q5" i="8"/>
  <c r="P4" i="8"/>
  <c r="U5" i="7"/>
  <c r="T4" i="7"/>
  <c r="U5" i="6"/>
  <c r="T4" i="6"/>
  <c r="W5" i="13" l="1"/>
  <c r="V4" i="13"/>
  <c r="W5" i="12"/>
  <c r="V4" i="12"/>
  <c r="V5" i="11"/>
  <c r="U4" i="11"/>
  <c r="B12" i="10"/>
  <c r="A11" i="10"/>
  <c r="C11" i="10"/>
  <c r="M10" i="10"/>
  <c r="N10" i="10"/>
  <c r="P5" i="9"/>
  <c r="O4" i="9"/>
  <c r="R5" i="8"/>
  <c r="Q4" i="8"/>
  <c r="V5" i="7"/>
  <c r="U4" i="7"/>
  <c r="V5" i="6"/>
  <c r="U4" i="6"/>
  <c r="X5" i="13" l="1"/>
  <c r="W4" i="13"/>
  <c r="X5" i="12"/>
  <c r="W4" i="12"/>
  <c r="W5" i="11"/>
  <c r="V4" i="11"/>
  <c r="B13" i="10"/>
  <c r="A12" i="10"/>
  <c r="C12" i="10"/>
  <c r="N11" i="10"/>
  <c r="M11" i="10"/>
  <c r="Q5" i="9"/>
  <c r="P4" i="9"/>
  <c r="S5" i="8"/>
  <c r="R4" i="8"/>
  <c r="W5" i="7"/>
  <c r="V4" i="7"/>
  <c r="W5" i="6"/>
  <c r="V4" i="6"/>
  <c r="Y5" i="13" l="1"/>
  <c r="X4" i="13"/>
  <c r="Y5" i="12"/>
  <c r="X4" i="12"/>
  <c r="W4" i="11"/>
  <c r="X5" i="11"/>
  <c r="M12" i="10"/>
  <c r="N12" i="10"/>
  <c r="C13" i="10"/>
  <c r="B14" i="10"/>
  <c r="A13" i="10"/>
  <c r="R5" i="9"/>
  <c r="Q4" i="9"/>
  <c r="T5" i="8"/>
  <c r="S4" i="8"/>
  <c r="X5" i="7"/>
  <c r="W4" i="7"/>
  <c r="X5" i="6"/>
  <c r="W4" i="6"/>
  <c r="Z5" i="13" l="1"/>
  <c r="Y4" i="13"/>
  <c r="Z5" i="12"/>
  <c r="Y4" i="12"/>
  <c r="Y5" i="11"/>
  <c r="X4" i="11"/>
  <c r="M13" i="10"/>
  <c r="N13" i="10"/>
  <c r="C14" i="10"/>
  <c r="A14" i="10"/>
  <c r="B15" i="10"/>
  <c r="S5" i="9"/>
  <c r="R4" i="9"/>
  <c r="U5" i="8"/>
  <c r="T4" i="8"/>
  <c r="Y5" i="7"/>
  <c r="X4" i="7"/>
  <c r="Y5" i="6"/>
  <c r="X4" i="6"/>
  <c r="P6" i="4"/>
  <c r="AA5" i="13" l="1"/>
  <c r="Z4" i="13"/>
  <c r="AA5" i="12"/>
  <c r="Z4" i="12"/>
  <c r="Z5" i="11"/>
  <c r="Y4" i="11"/>
  <c r="M14" i="10"/>
  <c r="N14" i="10"/>
  <c r="B16" i="10"/>
  <c r="A15" i="10"/>
  <c r="C15" i="10"/>
  <c r="T5" i="9"/>
  <c r="S4" i="9"/>
  <c r="V5" i="8"/>
  <c r="U4" i="8"/>
  <c r="Z5" i="7"/>
  <c r="Y4" i="7"/>
  <c r="Y4" i="6"/>
  <c r="Z5" i="6"/>
  <c r="AB5" i="13" l="1"/>
  <c r="AA4" i="13"/>
  <c r="AB5" i="12"/>
  <c r="AA4" i="12"/>
  <c r="AA5" i="11"/>
  <c r="Z4" i="11"/>
  <c r="B17" i="10"/>
  <c r="A16" i="10"/>
  <c r="C16" i="10"/>
  <c r="N15" i="10"/>
  <c r="M15" i="10"/>
  <c r="U5" i="9"/>
  <c r="T4" i="9"/>
  <c r="W5" i="8"/>
  <c r="V4" i="8"/>
  <c r="AA5" i="7"/>
  <c r="Z4" i="7"/>
  <c r="AA5" i="6"/>
  <c r="Z4" i="6"/>
  <c r="AI2" i="17"/>
  <c r="AB4" i="13" l="1"/>
  <c r="AC5" i="13"/>
  <c r="AC5" i="12"/>
  <c r="AB4" i="12"/>
  <c r="AB5" i="11"/>
  <c r="AA4" i="11"/>
  <c r="M16" i="10"/>
  <c r="N16" i="10"/>
  <c r="C17" i="10"/>
  <c r="B18" i="10"/>
  <c r="A17" i="10"/>
  <c r="V5" i="9"/>
  <c r="U4" i="9"/>
  <c r="W4" i="8"/>
  <c r="X5" i="8"/>
  <c r="AB5" i="7"/>
  <c r="AA4" i="7"/>
  <c r="AB5" i="6"/>
  <c r="AA4" i="6"/>
  <c r="AD5" i="13" l="1"/>
  <c r="AC4" i="13"/>
  <c r="AD5" i="12"/>
  <c r="AC4" i="12"/>
  <c r="AC5" i="11"/>
  <c r="AB4" i="11"/>
  <c r="M17" i="10"/>
  <c r="N17" i="10"/>
  <c r="C18" i="10"/>
  <c r="A18" i="10"/>
  <c r="B19" i="10"/>
  <c r="W5" i="9"/>
  <c r="V4" i="9"/>
  <c r="Y5" i="8"/>
  <c r="X4" i="8"/>
  <c r="AC5" i="7"/>
  <c r="AB4" i="7"/>
  <c r="AC5" i="6"/>
  <c r="AB4" i="6"/>
  <c r="AE5" i="13" l="1"/>
  <c r="AD4" i="13"/>
  <c r="AE5" i="12"/>
  <c r="AD4" i="12"/>
  <c r="AD5" i="11"/>
  <c r="AC4" i="11"/>
  <c r="M18" i="10"/>
  <c r="N18" i="10"/>
  <c r="B20" i="10"/>
  <c r="A19" i="10"/>
  <c r="C19" i="10"/>
  <c r="X5" i="9"/>
  <c r="W4" i="9"/>
  <c r="Z5" i="8"/>
  <c r="Y4" i="8"/>
  <c r="AD5" i="7"/>
  <c r="AC4" i="7"/>
  <c r="AD5" i="6"/>
  <c r="AC4" i="6"/>
  <c r="AF5" i="13" l="1"/>
  <c r="AE4" i="13"/>
  <c r="AF5" i="12"/>
  <c r="AE4" i="12"/>
  <c r="AE5" i="11"/>
  <c r="AD4" i="11"/>
  <c r="B21" i="10"/>
  <c r="A20" i="10"/>
  <c r="C20" i="10"/>
  <c r="N19" i="10"/>
  <c r="M19" i="10"/>
  <c r="Y5" i="9"/>
  <c r="X4" i="9"/>
  <c r="AA5" i="8"/>
  <c r="Z4" i="8"/>
  <c r="AE5" i="7"/>
  <c r="AD4" i="7"/>
  <c r="AE5" i="6"/>
  <c r="AD4" i="6"/>
  <c r="D30" i="17"/>
  <c r="AO11" i="17"/>
  <c r="AP11" i="17" s="1"/>
  <c r="AM11" i="17"/>
  <c r="AL11" i="17"/>
  <c r="AK11" i="17"/>
  <c r="AJ11" i="17"/>
  <c r="D11" i="17"/>
  <c r="AO10" i="17"/>
  <c r="AP10" i="17" s="1"/>
  <c r="AM10" i="17"/>
  <c r="AL10" i="17"/>
  <c r="AK10" i="17"/>
  <c r="AJ10" i="17"/>
  <c r="D10" i="17"/>
  <c r="AO9" i="17"/>
  <c r="AP9" i="17" s="1"/>
  <c r="AM9" i="17"/>
  <c r="AL9" i="17"/>
  <c r="AK9" i="17"/>
  <c r="AJ9" i="17"/>
  <c r="D9" i="17"/>
  <c r="E29" i="17" s="1"/>
  <c r="AO8" i="17"/>
  <c r="AP8" i="17" s="1"/>
  <c r="AM8" i="17"/>
  <c r="AL8" i="17"/>
  <c r="AK8" i="17"/>
  <c r="AJ8" i="17"/>
  <c r="D8" i="17"/>
  <c r="AO7" i="17"/>
  <c r="AP7" i="17" s="1"/>
  <c r="AM7" i="17"/>
  <c r="AL7" i="17"/>
  <c r="AK7" i="17"/>
  <c r="AJ7" i="17"/>
  <c r="D7" i="17"/>
  <c r="AO6" i="17"/>
  <c r="AP6" i="17" s="1"/>
  <c r="AM6" i="17"/>
  <c r="AL6" i="17"/>
  <c r="AK6" i="17"/>
  <c r="AJ6" i="17"/>
  <c r="D6" i="17"/>
  <c r="E28" i="17" s="1"/>
  <c r="AO5" i="17"/>
  <c r="AM5" i="17"/>
  <c r="AL5" i="17"/>
  <c r="AK5" i="17"/>
  <c r="AJ5" i="17"/>
  <c r="D5" i="17"/>
  <c r="E27" i="17" s="1"/>
  <c r="AO4" i="17"/>
  <c r="AM4" i="17"/>
  <c r="AL4" i="17"/>
  <c r="AK4" i="17"/>
  <c r="AJ4" i="17"/>
  <c r="D4" i="17"/>
  <c r="E26" i="17" s="1"/>
  <c r="AH2" i="17"/>
  <c r="AG2" i="17"/>
  <c r="AF2" i="17"/>
  <c r="AE2" i="17"/>
  <c r="AD2" i="17"/>
  <c r="AC2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O2" i="17"/>
  <c r="N2" i="17"/>
  <c r="M2" i="17"/>
  <c r="L2" i="17"/>
  <c r="K2" i="17"/>
  <c r="J2" i="17"/>
  <c r="I2" i="17"/>
  <c r="H2" i="17"/>
  <c r="G2" i="17"/>
  <c r="F2" i="17"/>
  <c r="E2" i="17"/>
  <c r="AM23" i="17" l="1"/>
  <c r="AK23" i="17"/>
  <c r="AL23" i="17"/>
  <c r="AJ23" i="17"/>
  <c r="AO23" i="17"/>
  <c r="AP5" i="17"/>
  <c r="AP4" i="17"/>
  <c r="AF4" i="13"/>
  <c r="AG5" i="13"/>
  <c r="AG5" i="12"/>
  <c r="AF4" i="12"/>
  <c r="AE4" i="11"/>
  <c r="AF5" i="11"/>
  <c r="M20" i="10"/>
  <c r="N20" i="10"/>
  <c r="C21" i="10"/>
  <c r="B22" i="10"/>
  <c r="A21" i="10"/>
  <c r="Z5" i="9"/>
  <c r="Y4" i="9"/>
  <c r="AB5" i="8"/>
  <c r="AA4" i="8"/>
  <c r="AF5" i="7"/>
  <c r="AE4" i="7"/>
  <c r="AF5" i="6"/>
  <c r="AE4" i="6"/>
  <c r="AN11" i="17"/>
  <c r="AQ11" i="17" s="1"/>
  <c r="AR11" i="17" s="1"/>
  <c r="AN5" i="17"/>
  <c r="AN9" i="17"/>
  <c r="AQ9" i="17" s="1"/>
  <c r="AR9" i="17" s="1"/>
  <c r="AN6" i="17"/>
  <c r="AQ6" i="17" s="1"/>
  <c r="AR6" i="17" s="1"/>
  <c r="AN7" i="17"/>
  <c r="AQ7" i="17" s="1"/>
  <c r="AR7" i="17" s="1"/>
  <c r="AN10" i="17"/>
  <c r="AQ10" i="17" s="1"/>
  <c r="AR10" i="17" s="1"/>
  <c r="AN8" i="17"/>
  <c r="AQ8" i="17" s="1"/>
  <c r="AR8" i="17" s="1"/>
  <c r="AN4" i="17"/>
  <c r="AP23" i="17" l="1"/>
  <c r="AN23" i="17"/>
  <c r="AQ5" i="17"/>
  <c r="AH5" i="13"/>
  <c r="AG4" i="13"/>
  <c r="AH5" i="12"/>
  <c r="AG4" i="12"/>
  <c r="AG5" i="11"/>
  <c r="AF4" i="11"/>
  <c r="M21" i="10"/>
  <c r="N21" i="10"/>
  <c r="C22" i="10"/>
  <c r="A22" i="10"/>
  <c r="B23" i="10"/>
  <c r="AA5" i="9"/>
  <c r="Z4" i="9"/>
  <c r="AC5" i="8"/>
  <c r="AB4" i="8"/>
  <c r="AG5" i="7"/>
  <c r="AF4" i="7"/>
  <c r="AG5" i="6"/>
  <c r="AF4" i="6"/>
  <c r="C29" i="17"/>
  <c r="H29" i="17" s="1"/>
  <c r="C28" i="17"/>
  <c r="H28" i="17" s="1"/>
  <c r="AQ4" i="17"/>
  <c r="AQ23" i="17" l="1"/>
  <c r="AR5" i="17"/>
  <c r="C27" i="17"/>
  <c r="H27" i="17" s="1"/>
  <c r="AI5" i="13"/>
  <c r="AH4" i="13"/>
  <c r="AI5" i="12"/>
  <c r="AH4" i="12"/>
  <c r="AH5" i="11"/>
  <c r="AG4" i="11"/>
  <c r="M22" i="10"/>
  <c r="N22" i="10"/>
  <c r="B24" i="10"/>
  <c r="A23" i="10"/>
  <c r="C23" i="10"/>
  <c r="AB5" i="9"/>
  <c r="AA4" i="9"/>
  <c r="AD5" i="8"/>
  <c r="AC4" i="8"/>
  <c r="AH5" i="7"/>
  <c r="AG4" i="7"/>
  <c r="AH5" i="6"/>
  <c r="AG4" i="6"/>
  <c r="AR4" i="17"/>
  <c r="C26" i="17"/>
  <c r="AR23" i="17" l="1"/>
  <c r="M19" i="1" s="1"/>
  <c r="N19" i="1" s="1"/>
  <c r="O19" i="1" s="1"/>
  <c r="AJ5" i="13"/>
  <c r="AI4" i="13"/>
  <c r="AJ5" i="12"/>
  <c r="AI4" i="12"/>
  <c r="AI5" i="11"/>
  <c r="AH4" i="11"/>
  <c r="B25" i="10"/>
  <c r="A24" i="10"/>
  <c r="C24" i="10"/>
  <c r="N23" i="10"/>
  <c r="M23" i="10"/>
  <c r="AC5" i="9"/>
  <c r="AB4" i="9"/>
  <c r="AE5" i="8"/>
  <c r="AD4" i="8"/>
  <c r="AI5" i="7"/>
  <c r="AH4" i="7"/>
  <c r="AI5" i="6"/>
  <c r="AH4" i="6"/>
  <c r="C30" i="17"/>
  <c r="H26" i="17"/>
  <c r="H30" i="17" s="1"/>
  <c r="H31" i="17" s="1"/>
  <c r="H32" i="17" s="1"/>
  <c r="AK5" i="13" l="1"/>
  <c r="AJ4" i="13"/>
  <c r="AK5" i="12"/>
  <c r="AJ4" i="12"/>
  <c r="AJ5" i="11"/>
  <c r="AI4" i="11"/>
  <c r="C25" i="10"/>
  <c r="B26" i="10"/>
  <c r="A25" i="10"/>
  <c r="M24" i="10"/>
  <c r="N24" i="10"/>
  <c r="AD5" i="9"/>
  <c r="AC4" i="9"/>
  <c r="AF5" i="8"/>
  <c r="AE4" i="8"/>
  <c r="AJ5" i="7"/>
  <c r="AI4" i="7"/>
  <c r="AJ5" i="6"/>
  <c r="AI4" i="6"/>
  <c r="H34" i="17"/>
  <c r="H33" i="17"/>
  <c r="AL5" i="13" l="1"/>
  <c r="AK4" i="13"/>
  <c r="AL5" i="12"/>
  <c r="AK4" i="12"/>
  <c r="AK5" i="11"/>
  <c r="AJ4" i="11"/>
  <c r="C26" i="10"/>
  <c r="B27" i="10"/>
  <c r="A26" i="10"/>
  <c r="M25" i="10"/>
  <c r="N25" i="10"/>
  <c r="AE5" i="9"/>
  <c r="AD4" i="9"/>
  <c r="AG5" i="8"/>
  <c r="AF4" i="8"/>
  <c r="AK5" i="7"/>
  <c r="AJ4" i="7"/>
  <c r="AK5" i="6"/>
  <c r="AJ4" i="6"/>
  <c r="H35" i="17"/>
  <c r="AM5" i="13" l="1"/>
  <c r="AL4" i="13"/>
  <c r="AM5" i="12"/>
  <c r="AL4" i="12"/>
  <c r="AL5" i="11"/>
  <c r="AK4" i="11"/>
  <c r="B28" i="10"/>
  <c r="A27" i="10"/>
  <c r="C27" i="10"/>
  <c r="M26" i="10"/>
  <c r="N26" i="10"/>
  <c r="AF5" i="9"/>
  <c r="AE4" i="9"/>
  <c r="AH5" i="8"/>
  <c r="AG4" i="8"/>
  <c r="AL5" i="7"/>
  <c r="AK4" i="7"/>
  <c r="AL5" i="6"/>
  <c r="AK4" i="6"/>
  <c r="E3" i="16"/>
  <c r="F3" i="16" s="1"/>
  <c r="G3" i="16" s="1"/>
  <c r="H3" i="16" s="1"/>
  <c r="I3" i="16" s="1"/>
  <c r="J3" i="16" s="1"/>
  <c r="K3" i="16" s="1"/>
  <c r="L3" i="16" s="1"/>
  <c r="M3" i="16" s="1"/>
  <c r="N3" i="16" s="1"/>
  <c r="O3" i="16" s="1"/>
  <c r="P3" i="16" s="1"/>
  <c r="Q3" i="16" s="1"/>
  <c r="R3" i="16" s="1"/>
  <c r="S3" i="16" s="1"/>
  <c r="T3" i="16" s="1"/>
  <c r="U3" i="16" s="1"/>
  <c r="V3" i="16" s="1"/>
  <c r="W3" i="16" s="1"/>
  <c r="X3" i="16" s="1"/>
  <c r="Y3" i="16" s="1"/>
  <c r="Z3" i="16" s="1"/>
  <c r="AA3" i="16" s="1"/>
  <c r="AB3" i="16" s="1"/>
  <c r="AC3" i="16" s="1"/>
  <c r="AD3" i="16" s="1"/>
  <c r="AE3" i="16" s="1"/>
  <c r="AF3" i="16" s="1"/>
  <c r="AG3" i="16" s="1"/>
  <c r="AH3" i="16" s="1"/>
  <c r="AI3" i="16" s="1"/>
  <c r="AN5" i="13" l="1"/>
  <c r="AM4" i="13"/>
  <c r="AM4" i="12"/>
  <c r="AN5" i="12"/>
  <c r="AM5" i="11"/>
  <c r="AL4" i="11"/>
  <c r="B29" i="10"/>
  <c r="A28" i="10"/>
  <c r="C28" i="10"/>
  <c r="N27" i="10"/>
  <c r="M27" i="10"/>
  <c r="AG5" i="9"/>
  <c r="AF4" i="9"/>
  <c r="AI5" i="8"/>
  <c r="AH4" i="8"/>
  <c r="AM5" i="7"/>
  <c r="AL4" i="7"/>
  <c r="AM5" i="6"/>
  <c r="AL4" i="6"/>
  <c r="AN4" i="13" l="1"/>
  <c r="AO5" i="13"/>
  <c r="AO5" i="12"/>
  <c r="AN4" i="12"/>
  <c r="AN5" i="11"/>
  <c r="AM4" i="11"/>
  <c r="C29" i="10"/>
  <c r="B30" i="10"/>
  <c r="A29" i="10"/>
  <c r="M28" i="10"/>
  <c r="N28" i="10"/>
  <c r="AH5" i="9"/>
  <c r="AG4" i="9"/>
  <c r="AJ5" i="8"/>
  <c r="AI4" i="8"/>
  <c r="AN5" i="7"/>
  <c r="AM4" i="7"/>
  <c r="AN5" i="6"/>
  <c r="AM4" i="6"/>
  <c r="AP5" i="13" l="1"/>
  <c r="AO4" i="13"/>
  <c r="AP5" i="12"/>
  <c r="AO4" i="12"/>
  <c r="AO5" i="11"/>
  <c r="AN4" i="11"/>
  <c r="C30" i="10"/>
  <c r="B31" i="10"/>
  <c r="A30" i="10"/>
  <c r="M29" i="10"/>
  <c r="N29" i="10"/>
  <c r="AI5" i="9"/>
  <c r="AH4" i="9"/>
  <c r="AK5" i="8"/>
  <c r="AJ4" i="8"/>
  <c r="AO5" i="7"/>
  <c r="AN4" i="7"/>
  <c r="AO5" i="6"/>
  <c r="AN4" i="6"/>
  <c r="AQ5" i="13" l="1"/>
  <c r="AP4" i="13"/>
  <c r="AQ5" i="12"/>
  <c r="AP4" i="12"/>
  <c r="AP5" i="11"/>
  <c r="AO4" i="11"/>
  <c r="B32" i="10"/>
  <c r="A31" i="10"/>
  <c r="C31" i="10"/>
  <c r="M30" i="10"/>
  <c r="N30" i="10"/>
  <c r="AJ5" i="9"/>
  <c r="AI4" i="9"/>
  <c r="AL5" i="8"/>
  <c r="AK4" i="8"/>
  <c r="AP5" i="7"/>
  <c r="AO4" i="7"/>
  <c r="AO4" i="6"/>
  <c r="AP5" i="6"/>
  <c r="AR5" i="13" l="1"/>
  <c r="AQ4" i="13"/>
  <c r="AR5" i="12"/>
  <c r="AQ4" i="12"/>
  <c r="AQ5" i="11"/>
  <c r="AP4" i="11"/>
  <c r="N31" i="10"/>
  <c r="M31" i="10"/>
  <c r="B33" i="10"/>
  <c r="A32" i="10"/>
  <c r="C32" i="10"/>
  <c r="AK5" i="9"/>
  <c r="AJ4" i="9"/>
  <c r="AM5" i="8"/>
  <c r="AL4" i="8"/>
  <c r="AQ5" i="7"/>
  <c r="AP4" i="7"/>
  <c r="AQ5" i="6"/>
  <c r="AP4" i="6"/>
  <c r="AS5" i="13" l="1"/>
  <c r="AS4" i="13" s="1"/>
  <c r="AR4" i="13"/>
  <c r="AS5" i="12"/>
  <c r="AS4" i="12" s="1"/>
  <c r="AR4" i="12"/>
  <c r="AR5" i="11"/>
  <c r="AQ4" i="11"/>
  <c r="C33" i="10"/>
  <c r="B34" i="10"/>
  <c r="A33" i="10"/>
  <c r="M32" i="10"/>
  <c r="N32" i="10"/>
  <c r="AL5" i="9"/>
  <c r="AK4" i="9"/>
  <c r="AM4" i="8"/>
  <c r="AN5" i="8"/>
  <c r="AN4" i="8" s="1"/>
  <c r="AR5" i="7"/>
  <c r="AQ4" i="7"/>
  <c r="AR5" i="6"/>
  <c r="AQ4" i="6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12" i="3"/>
  <c r="AS5" i="11" l="1"/>
  <c r="AS4" i="11" s="1"/>
  <c r="AR4" i="11"/>
  <c r="C34" i="10"/>
  <c r="B35" i="10"/>
  <c r="A34" i="10"/>
  <c r="M33" i="10"/>
  <c r="N33" i="10"/>
  <c r="AM5" i="9"/>
  <c r="AL4" i="9"/>
  <c r="AS5" i="7"/>
  <c r="AS4" i="7" s="1"/>
  <c r="AR4" i="7"/>
  <c r="AS5" i="6"/>
  <c r="AS4" i="6" s="1"/>
  <c r="AR4" i="6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7" i="4"/>
  <c r="F16" i="4"/>
  <c r="A35" i="10" l="1"/>
  <c r="B36" i="10"/>
  <c r="M34" i="10"/>
  <c r="N34" i="10"/>
  <c r="AN5" i="9"/>
  <c r="AM4" i="9"/>
  <c r="P38" i="4"/>
  <c r="F13" i="1" s="1"/>
  <c r="C36" i="10" l="1"/>
  <c r="A36" i="10"/>
  <c r="AO5" i="9"/>
  <c r="AO4" i="9" s="1"/>
  <c r="AN4" i="9"/>
  <c r="M36" i="10" l="1"/>
  <c r="M37" i="10" s="1"/>
  <c r="O12" i="1" s="1"/>
  <c r="N36" i="10"/>
  <c r="N37" i="10" s="1"/>
  <c r="G2" i="16"/>
  <c r="H2" i="16"/>
  <c r="I2" i="16"/>
  <c r="J2" i="16"/>
  <c r="K2" i="16"/>
  <c r="L2" i="16"/>
  <c r="M2" i="16"/>
  <c r="N2" i="16"/>
  <c r="O2" i="16"/>
  <c r="P2" i="16"/>
  <c r="Q2" i="16"/>
  <c r="R2" i="16"/>
  <c r="S2" i="16"/>
  <c r="T2" i="16"/>
  <c r="U2" i="16"/>
  <c r="V2" i="16"/>
  <c r="W2" i="16"/>
  <c r="X2" i="16"/>
  <c r="Y2" i="16"/>
  <c r="Z2" i="16"/>
  <c r="AA2" i="16"/>
  <c r="AB2" i="16"/>
  <c r="AC2" i="16"/>
  <c r="AD2" i="16"/>
  <c r="AE2" i="16"/>
  <c r="AF2" i="16"/>
  <c r="AG2" i="16"/>
  <c r="AH2" i="16"/>
  <c r="AI2" i="16"/>
  <c r="E2" i="16"/>
  <c r="M12" i="1" l="1"/>
  <c r="N12" i="1"/>
  <c r="AJ14" i="16"/>
  <c r="AK14" i="16"/>
  <c r="AL14" i="16"/>
  <c r="AM14" i="16"/>
  <c r="AO14" i="16"/>
  <c r="AP14" i="16" s="1"/>
  <c r="AN14" i="16" l="1"/>
  <c r="AQ14" i="16" s="1"/>
  <c r="AR14" i="16" l="1"/>
  <c r="O36" i="3" l="1"/>
  <c r="O37" i="3"/>
  <c r="O38" i="3"/>
  <c r="F36" i="3"/>
  <c r="F37" i="3"/>
  <c r="F38" i="3"/>
  <c r="J7" i="4"/>
  <c r="J6" i="4"/>
  <c r="AJ35" i="4" l="1"/>
  <c r="AJ36" i="4"/>
  <c r="AJ37" i="4"/>
  <c r="AG35" i="4"/>
  <c r="AG36" i="4"/>
  <c r="AG37" i="4"/>
  <c r="AB35" i="4"/>
  <c r="AB36" i="4"/>
  <c r="AB37" i="4"/>
  <c r="Y35" i="4"/>
  <c r="Y36" i="4"/>
  <c r="Y37" i="4"/>
  <c r="T35" i="4"/>
  <c r="T36" i="4"/>
  <c r="T37" i="4"/>
  <c r="J35" i="4"/>
  <c r="J36" i="4"/>
  <c r="J37" i="4"/>
  <c r="F35" i="4"/>
  <c r="F36" i="4"/>
  <c r="F37" i="4"/>
  <c r="I9" i="3" l="1"/>
  <c r="I10" i="3"/>
  <c r="I7" i="3"/>
  <c r="AJ6" i="4" l="1"/>
  <c r="AG6" i="4"/>
  <c r="AB6" i="4"/>
  <c r="Y6" i="4"/>
  <c r="AJ13" i="16" l="1"/>
  <c r="AK13" i="16"/>
  <c r="AL13" i="16"/>
  <c r="AM13" i="16"/>
  <c r="AO13" i="16"/>
  <c r="AP13" i="16" s="1"/>
  <c r="AN13" i="16" l="1"/>
  <c r="AQ13" i="16" s="1"/>
  <c r="AR13" i="16" l="1"/>
  <c r="B6" i="4" l="1"/>
  <c r="AJ11" i="16" l="1"/>
  <c r="AK11" i="16"/>
  <c r="AL11" i="16"/>
  <c r="AM11" i="16"/>
  <c r="AO11" i="16"/>
  <c r="AP11" i="16" s="1"/>
  <c r="AN11" i="16" l="1"/>
  <c r="AQ11" i="16" s="1"/>
  <c r="AR11" i="16" s="1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7" i="4"/>
  <c r="AG38" i="4" l="1"/>
  <c r="F17" i="1" s="1"/>
  <c r="AJ6" i="16"/>
  <c r="AJ7" i="16"/>
  <c r="AJ8" i="16"/>
  <c r="AJ9" i="16"/>
  <c r="AJ10" i="16"/>
  <c r="AJ5" i="16"/>
  <c r="AJ16" i="16" l="1"/>
  <c r="AJ7" i="4"/>
  <c r="J8" i="4"/>
  <c r="J9" i="4"/>
  <c r="J10" i="4"/>
  <c r="J11" i="4"/>
  <c r="J12" i="4"/>
  <c r="AL5" i="15" l="1"/>
  <c r="O29" i="3" l="1"/>
  <c r="O30" i="3"/>
  <c r="O31" i="3"/>
  <c r="O32" i="3"/>
  <c r="O33" i="3"/>
  <c r="O34" i="3"/>
  <c r="O35" i="3"/>
  <c r="F29" i="3"/>
  <c r="F30" i="3"/>
  <c r="F31" i="3"/>
  <c r="F32" i="3"/>
  <c r="F33" i="3"/>
  <c r="F34" i="3"/>
  <c r="F35" i="3"/>
  <c r="AL7" i="15"/>
  <c r="AM7" i="15"/>
  <c r="AN7" i="15"/>
  <c r="AP7" i="15"/>
  <c r="AQ7" i="15" l="1"/>
  <c r="AO7" i="15"/>
  <c r="AR7" i="15" l="1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8" i="4" l="1"/>
  <c r="F16" i="1" s="1"/>
  <c r="AJ9" i="4" l="1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8" i="4"/>
  <c r="AJ38" i="4" l="1"/>
  <c r="F18" i="1" s="1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7" i="4"/>
  <c r="Y38" i="4" l="1"/>
  <c r="F15" i="1" s="1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F8" i="4"/>
  <c r="F9" i="4"/>
  <c r="F10" i="4"/>
  <c r="F11" i="4"/>
  <c r="F12" i="4"/>
  <c r="F13" i="4"/>
  <c r="F14" i="4"/>
  <c r="F15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7" i="4"/>
  <c r="J38" i="4" l="1"/>
  <c r="F12" i="1" s="1"/>
  <c r="F27" i="3" l="1"/>
  <c r="F28" i="3"/>
  <c r="AS7" i="15" l="1"/>
  <c r="O7" i="3" l="1"/>
  <c r="Y10" i="18" l="1"/>
  <c r="W9" i="18"/>
  <c r="Y9" i="18" s="1"/>
  <c r="Q9" i="18"/>
  <c r="S9" i="18" s="1"/>
  <c r="W8" i="18"/>
  <c r="Y8" i="18" s="1"/>
  <c r="Q8" i="18"/>
  <c r="S8" i="18" s="1"/>
  <c r="W7" i="18"/>
  <c r="Y7" i="18" s="1"/>
  <c r="Q7" i="18"/>
  <c r="S7" i="18" s="1"/>
  <c r="W6" i="18"/>
  <c r="Y6" i="18" s="1"/>
  <c r="Q6" i="18"/>
  <c r="S6" i="18" s="1"/>
  <c r="W5" i="18"/>
  <c r="Y5" i="18" s="1"/>
  <c r="Q5" i="18"/>
  <c r="S5" i="18" s="1"/>
  <c r="W4" i="18"/>
  <c r="Y4" i="18" s="1"/>
  <c r="S4" i="18"/>
  <c r="Q4" i="18"/>
  <c r="J4" i="18"/>
  <c r="E19" i="16"/>
  <c r="AO10" i="16"/>
  <c r="AM10" i="16"/>
  <c r="AL10" i="16"/>
  <c r="AK10" i="16"/>
  <c r="AO9" i="16"/>
  <c r="AM9" i="16"/>
  <c r="AL9" i="16"/>
  <c r="AK9" i="16"/>
  <c r="AO8" i="16"/>
  <c r="AP8" i="16" s="1"/>
  <c r="AM8" i="16"/>
  <c r="AL8" i="16"/>
  <c r="AK8" i="16"/>
  <c r="AO7" i="16"/>
  <c r="AM7" i="16"/>
  <c r="AL7" i="16"/>
  <c r="AK7" i="16"/>
  <c r="AO6" i="16"/>
  <c r="AM6" i="16"/>
  <c r="AL6" i="16"/>
  <c r="AK6" i="16"/>
  <c r="AO5" i="16"/>
  <c r="AM5" i="16"/>
  <c r="AL5" i="16"/>
  <c r="AK5" i="16"/>
  <c r="AP6" i="15"/>
  <c r="AQ6" i="15" s="1"/>
  <c r="AN6" i="15"/>
  <c r="AM6" i="15"/>
  <c r="AL6" i="15"/>
  <c r="AL12" i="15" s="1"/>
  <c r="AP5" i="15"/>
  <c r="AN5" i="15"/>
  <c r="AM5" i="15"/>
  <c r="F16" i="15"/>
  <c r="G3" i="15"/>
  <c r="H3" i="15" s="1"/>
  <c r="F2" i="15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AD6" i="4"/>
  <c r="V8" i="4"/>
  <c r="V9" i="4" s="1"/>
  <c r="V10" i="4" s="1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V33" i="4" s="1"/>
  <c r="V34" i="4" s="1"/>
  <c r="V35" i="4" s="1"/>
  <c r="V36" i="4" s="1"/>
  <c r="V37" i="4" s="1"/>
  <c r="T7" i="4"/>
  <c r="L8" i="4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B8" i="4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T6" i="4"/>
  <c r="F6" i="4"/>
  <c r="F38" i="4" s="1"/>
  <c r="F11" i="1" s="1"/>
  <c r="O28" i="3"/>
  <c r="O27" i="3"/>
  <c r="O26" i="3"/>
  <c r="F26" i="3"/>
  <c r="O25" i="3"/>
  <c r="F25" i="3"/>
  <c r="O24" i="3"/>
  <c r="F24" i="3"/>
  <c r="O23" i="3"/>
  <c r="F23" i="3"/>
  <c r="O22" i="3"/>
  <c r="F22" i="3"/>
  <c r="O21" i="3"/>
  <c r="F21" i="3"/>
  <c r="O20" i="3"/>
  <c r="F20" i="3"/>
  <c r="O19" i="3"/>
  <c r="F19" i="3"/>
  <c r="O18" i="3"/>
  <c r="F18" i="3"/>
  <c r="O17" i="3"/>
  <c r="O16" i="3"/>
  <c r="F16" i="3"/>
  <c r="O15" i="3"/>
  <c r="F15" i="3"/>
  <c r="O14" i="3"/>
  <c r="F14" i="3"/>
  <c r="O13" i="3"/>
  <c r="F13" i="3"/>
  <c r="O12" i="3"/>
  <c r="F12" i="3"/>
  <c r="O11" i="3"/>
  <c r="I11" i="3"/>
  <c r="I39" i="3" s="1"/>
  <c r="F9" i="1" s="1"/>
  <c r="F11" i="3"/>
  <c r="O10" i="3"/>
  <c r="F10" i="3"/>
  <c r="O9" i="3"/>
  <c r="O8" i="3"/>
  <c r="AN12" i="15" l="1"/>
  <c r="AP12" i="15"/>
  <c r="AK16" i="16"/>
  <c r="AL16" i="16"/>
  <c r="AM16" i="16"/>
  <c r="AP7" i="16"/>
  <c r="AO16" i="16"/>
  <c r="AM12" i="15"/>
  <c r="AQ5" i="15"/>
  <c r="AQ12" i="15" s="1"/>
  <c r="T38" i="4"/>
  <c r="F14" i="1" s="1"/>
  <c r="O39" i="3"/>
  <c r="F10" i="1" s="1"/>
  <c r="AN5" i="16"/>
  <c r="AP5" i="16"/>
  <c r="AP9" i="16"/>
  <c r="AP10" i="16"/>
  <c r="AP6" i="16"/>
  <c r="L8" i="3"/>
  <c r="L7" i="3"/>
  <c r="F2" i="16"/>
  <c r="G2" i="15"/>
  <c r="L9" i="3"/>
  <c r="C8" i="3"/>
  <c r="C7" i="3"/>
  <c r="AD8" i="4"/>
  <c r="AD9" i="4" s="1"/>
  <c r="AD10" i="4" s="1"/>
  <c r="AD11" i="4" s="1"/>
  <c r="AD12" i="4" s="1"/>
  <c r="AD13" i="4" s="1"/>
  <c r="AD14" i="4" s="1"/>
  <c r="AD15" i="4" s="1"/>
  <c r="AD16" i="4" s="1"/>
  <c r="AD17" i="4" s="1"/>
  <c r="AD18" i="4" s="1"/>
  <c r="AD19" i="4" s="1"/>
  <c r="AD20" i="4" s="1"/>
  <c r="AD21" i="4" s="1"/>
  <c r="AD22" i="4" s="1"/>
  <c r="AD23" i="4" s="1"/>
  <c r="AD24" i="4" s="1"/>
  <c r="AD25" i="4" s="1"/>
  <c r="AD26" i="4" s="1"/>
  <c r="AD27" i="4" s="1"/>
  <c r="AD28" i="4" s="1"/>
  <c r="AD29" i="4" s="1"/>
  <c r="AD30" i="4" s="1"/>
  <c r="AD31" i="4" s="1"/>
  <c r="AD32" i="4" s="1"/>
  <c r="AD33" i="4" s="1"/>
  <c r="AD34" i="4" s="1"/>
  <c r="AD35" i="4" s="1"/>
  <c r="AD36" i="4" s="1"/>
  <c r="AD37" i="4" s="1"/>
  <c r="V6" i="4"/>
  <c r="L6" i="4"/>
  <c r="AN6" i="16"/>
  <c r="AN7" i="16"/>
  <c r="AN8" i="16"/>
  <c r="AQ8" i="16" s="1"/>
  <c r="AR8" i="16" s="1"/>
  <c r="AN10" i="16"/>
  <c r="AN9" i="16"/>
  <c r="AO5" i="15"/>
  <c r="AO6" i="15"/>
  <c r="H2" i="15"/>
  <c r="I3" i="15"/>
  <c r="AN16" i="16" l="1"/>
  <c r="AP16" i="16"/>
  <c r="AO12" i="15"/>
  <c r="AQ9" i="16"/>
  <c r="AQ10" i="16"/>
  <c r="AQ6" i="16"/>
  <c r="AQ5" i="16"/>
  <c r="AR6" i="15"/>
  <c r="AR5" i="15"/>
  <c r="AQ7" i="16"/>
  <c r="C9" i="3"/>
  <c r="K11" i="3"/>
  <c r="L10" i="3"/>
  <c r="J3" i="15"/>
  <c r="I2" i="15"/>
  <c r="AR12" i="15" l="1"/>
  <c r="D16" i="15" s="1"/>
  <c r="AQ16" i="16"/>
  <c r="C19" i="16" s="1"/>
  <c r="AR9" i="16"/>
  <c r="AR10" i="16"/>
  <c r="AR6" i="16"/>
  <c r="AR5" i="16"/>
  <c r="AS6" i="15"/>
  <c r="AS5" i="15"/>
  <c r="AR7" i="16"/>
  <c r="C10" i="3"/>
  <c r="K12" i="3"/>
  <c r="L11" i="3"/>
  <c r="K3" i="15"/>
  <c r="J2" i="15"/>
  <c r="AS12" i="15" l="1"/>
  <c r="AR16" i="16"/>
  <c r="M18" i="1" s="1"/>
  <c r="N18" i="1" s="1"/>
  <c r="O18" i="1" s="1"/>
  <c r="C11" i="3"/>
  <c r="K13" i="3"/>
  <c r="L12" i="3"/>
  <c r="C21" i="16"/>
  <c r="H19" i="16"/>
  <c r="H21" i="16" s="1"/>
  <c r="H23" i="16" s="1"/>
  <c r="K2" i="15"/>
  <c r="L3" i="15"/>
  <c r="O17" i="1" l="1"/>
  <c r="N17" i="1"/>
  <c r="M17" i="1"/>
  <c r="H24" i="16"/>
  <c r="D17" i="15"/>
  <c r="I16" i="15"/>
  <c r="I17" i="15" s="1"/>
  <c r="I19" i="15" s="1"/>
  <c r="K14" i="3"/>
  <c r="L13" i="3"/>
  <c r="C12" i="3"/>
  <c r="L2" i="15"/>
  <c r="M3" i="15"/>
  <c r="I20" i="15" l="1"/>
  <c r="I21" i="15" s="1"/>
  <c r="I22" i="15" s="1"/>
  <c r="H25" i="16"/>
  <c r="H26" i="16" s="1"/>
  <c r="K15" i="3"/>
  <c r="L14" i="3"/>
  <c r="B14" i="3"/>
  <c r="C13" i="3"/>
  <c r="N3" i="15"/>
  <c r="M2" i="15"/>
  <c r="B15" i="3" l="1"/>
  <c r="C14" i="3"/>
  <c r="K16" i="3"/>
  <c r="L15" i="3"/>
  <c r="O3" i="15"/>
  <c r="N2" i="15"/>
  <c r="K17" i="3" l="1"/>
  <c r="L16" i="3"/>
  <c r="B16" i="3"/>
  <c r="C15" i="3"/>
  <c r="O2" i="15"/>
  <c r="P3" i="15"/>
  <c r="B17" i="3" l="1"/>
  <c r="C16" i="3"/>
  <c r="K18" i="3"/>
  <c r="L17" i="3"/>
  <c r="P2" i="15"/>
  <c r="Q3" i="15"/>
  <c r="K19" i="3" l="1"/>
  <c r="L18" i="3"/>
  <c r="B18" i="3"/>
  <c r="C17" i="3"/>
  <c r="R3" i="15"/>
  <c r="Q2" i="15"/>
  <c r="B19" i="3" l="1"/>
  <c r="C18" i="3"/>
  <c r="K20" i="3"/>
  <c r="L19" i="3"/>
  <c r="S3" i="15"/>
  <c r="R2" i="15"/>
  <c r="K21" i="3" l="1"/>
  <c r="L20" i="3"/>
  <c r="B20" i="3"/>
  <c r="C19" i="3"/>
  <c r="S2" i="15"/>
  <c r="T3" i="15"/>
  <c r="B21" i="3" l="1"/>
  <c r="C20" i="3"/>
  <c r="K22" i="3"/>
  <c r="L21" i="3"/>
  <c r="T2" i="15"/>
  <c r="U3" i="15"/>
  <c r="K23" i="3" l="1"/>
  <c r="L22" i="3"/>
  <c r="C21" i="3"/>
  <c r="B22" i="3"/>
  <c r="V3" i="15"/>
  <c r="U2" i="15"/>
  <c r="C22" i="3" l="1"/>
  <c r="B23" i="3"/>
  <c r="K24" i="3"/>
  <c r="L23" i="3"/>
  <c r="W3" i="15"/>
  <c r="V2" i="15"/>
  <c r="K25" i="3" l="1"/>
  <c r="L24" i="3"/>
  <c r="B24" i="3"/>
  <c r="C23" i="3"/>
  <c r="W2" i="15"/>
  <c r="X3" i="15"/>
  <c r="B25" i="3" l="1"/>
  <c r="C24" i="3"/>
  <c r="K26" i="3"/>
  <c r="L25" i="3"/>
  <c r="X2" i="15"/>
  <c r="Y3" i="15"/>
  <c r="K27" i="3" l="1"/>
  <c r="L26" i="3"/>
  <c r="B26" i="3"/>
  <c r="C25" i="3"/>
  <c r="Z3" i="15"/>
  <c r="Y2" i="15"/>
  <c r="B27" i="3" l="1"/>
  <c r="C26" i="3"/>
  <c r="K28" i="3"/>
  <c r="L27" i="3"/>
  <c r="AA3" i="15"/>
  <c r="Z2" i="15"/>
  <c r="K29" i="3" l="1"/>
  <c r="L28" i="3"/>
  <c r="B28" i="3"/>
  <c r="C27" i="3"/>
  <c r="AA2" i="15"/>
  <c r="AB3" i="15"/>
  <c r="K30" i="3" l="1"/>
  <c r="L29" i="3"/>
  <c r="B29" i="3"/>
  <c r="C28" i="3"/>
  <c r="AB2" i="15"/>
  <c r="AC3" i="15"/>
  <c r="K31" i="3" l="1"/>
  <c r="L30" i="3"/>
  <c r="B30" i="3"/>
  <c r="C29" i="3"/>
  <c r="AD3" i="15"/>
  <c r="AC2" i="15"/>
  <c r="B31" i="3" l="1"/>
  <c r="C30" i="3"/>
  <c r="K32" i="3"/>
  <c r="L31" i="3"/>
  <c r="AE3" i="15"/>
  <c r="AD2" i="15"/>
  <c r="K33" i="3" l="1"/>
  <c r="L32" i="3"/>
  <c r="B32" i="3"/>
  <c r="C31" i="3"/>
  <c r="AE2" i="15"/>
  <c r="AF3" i="15"/>
  <c r="AG3" i="15" s="1"/>
  <c r="AG2" i="15" l="1"/>
  <c r="AH3" i="15"/>
  <c r="B33" i="3"/>
  <c r="C32" i="3"/>
  <c r="K34" i="3"/>
  <c r="L33" i="3"/>
  <c r="AF2" i="15"/>
  <c r="AH2" i="15" l="1"/>
  <c r="AI3" i="15"/>
  <c r="K35" i="3"/>
  <c r="K36" i="3" s="1"/>
  <c r="L34" i="3"/>
  <c r="B34" i="3"/>
  <c r="C33" i="3"/>
  <c r="AI2" i="15" l="1"/>
  <c r="AJ3" i="15"/>
  <c r="AJ2" i="15" s="1"/>
  <c r="K37" i="3"/>
  <c r="L36" i="3"/>
  <c r="B35" i="3"/>
  <c r="B36" i="3" s="1"/>
  <c r="C34" i="3"/>
  <c r="L35" i="3"/>
  <c r="B37" i="3" l="1"/>
  <c r="C36" i="3"/>
  <c r="K38" i="3"/>
  <c r="L38" i="3" s="1"/>
  <c r="L37" i="3"/>
  <c r="C35" i="3"/>
  <c r="B38" i="3" l="1"/>
  <c r="C38" i="3" s="1"/>
  <c r="C37" i="3"/>
  <c r="F9" i="3" l="1"/>
  <c r="F7" i="3"/>
  <c r="F8" i="3"/>
  <c r="F39" i="3" l="1"/>
  <c r="F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Shahebaz Rashid Khan</author>
  </authors>
  <commentList>
    <comment ref="U57" authorId="0" shapeId="0" xr:uid="{00000000-0006-0000-0700-000001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Kings restaurant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Shahebaz Rashid Khan</author>
  </authors>
  <commentList>
    <comment ref="R7" authorId="0" shapeId="0" xr:uid="{00000000-0006-0000-0B00-000001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KOS TO XTS 12 Ltr Milk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Shahebaz Rashid Khan</author>
  </authors>
  <commentList>
    <comment ref="M4" authorId="0" shapeId="0" xr:uid="{00000000-0006-0000-1000-000001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N4" authorId="0" shapeId="0" xr:uid="{00000000-0006-0000-1000-000002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O4" authorId="0" shapeId="0" xr:uid="{00000000-0006-0000-1000-000003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P4" authorId="0" shapeId="0" xr:uid="{00000000-0006-0000-1000-000004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Q4" authorId="0" shapeId="0" xr:uid="{00000000-0006-0000-1000-000005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T4" authorId="0" shapeId="0" xr:uid="{00000000-0006-0000-1000-000006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U4" authorId="0" shapeId="0" xr:uid="{00000000-0006-0000-1000-000007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Going Kings House</t>
        </r>
      </text>
    </comment>
    <comment ref="M5" authorId="0" shapeId="0" xr:uid="{00000000-0006-0000-1000-000008000000}">
      <text>
        <r>
          <rPr>
            <b/>
            <sz val="9"/>
            <color indexed="81"/>
            <rFont val="Tahoma"/>
            <charset val="1"/>
          </rPr>
          <t>Shahebaz Rashid Khan:</t>
        </r>
        <r>
          <rPr>
            <sz val="9"/>
            <color indexed="81"/>
            <rFont val="Tahoma"/>
            <charset val="1"/>
          </rPr>
          <t xml:space="preserve">
Boss in Office</t>
        </r>
      </text>
    </comment>
  </commentList>
</comments>
</file>

<file path=xl/sharedStrings.xml><?xml version="1.0" encoding="utf-8"?>
<sst xmlns="http://schemas.openxmlformats.org/spreadsheetml/2006/main" count="1778" uniqueCount="504">
  <si>
    <t>Day</t>
  </si>
  <si>
    <t>Rate</t>
  </si>
  <si>
    <t>Amount</t>
  </si>
  <si>
    <t>Date</t>
  </si>
  <si>
    <t>Total Amount</t>
  </si>
  <si>
    <t>Coffee</t>
  </si>
  <si>
    <t>Sr. No.</t>
  </si>
  <si>
    <t>Particulars</t>
  </si>
  <si>
    <t>Units</t>
  </si>
  <si>
    <t>Total Stock</t>
  </si>
  <si>
    <t>Nos.</t>
  </si>
  <si>
    <t>Box</t>
  </si>
  <si>
    <t>Pkt</t>
  </si>
  <si>
    <t>Spring File</t>
  </si>
  <si>
    <t>Box File</t>
  </si>
  <si>
    <t>Writing Pad No. 1</t>
  </si>
  <si>
    <t>Conference Pad</t>
  </si>
  <si>
    <t>Cello Tape 1"</t>
  </si>
  <si>
    <t>Cello Tape 2"</t>
  </si>
  <si>
    <t>Natraj Ball Pen</t>
  </si>
  <si>
    <t>White Board Markar Blue</t>
  </si>
  <si>
    <t>White Board Markar Black</t>
  </si>
  <si>
    <t>Stapler No. 10</t>
  </si>
  <si>
    <t>White Board Duster</t>
  </si>
  <si>
    <t>"V"Clip</t>
  </si>
  <si>
    <t>Sharpener</t>
  </si>
  <si>
    <t>Eraser</t>
  </si>
  <si>
    <t>Sketch Pen</t>
  </si>
  <si>
    <t>Liuon Pins</t>
  </si>
  <si>
    <t>Cutter Big</t>
  </si>
  <si>
    <t>Fevicol Bottle Small</t>
  </si>
  <si>
    <t>Stamp Ink</t>
  </si>
  <si>
    <t>Bottle</t>
  </si>
  <si>
    <t>Stapler Pin Big</t>
  </si>
  <si>
    <t>Plastics Folder "L"</t>
  </si>
  <si>
    <t>Cheque Book Plastic Folder</t>
  </si>
  <si>
    <t>Correction Pen Metal Point</t>
  </si>
  <si>
    <t>Pencil (Natraj/ Apsara)</t>
  </si>
  <si>
    <t>Scissor (Small)</t>
  </si>
  <si>
    <t>Highlighter Pen</t>
  </si>
  <si>
    <t>Magnetic Button</t>
  </si>
  <si>
    <t>Cmos Battery</t>
  </si>
  <si>
    <t>Pen Stand Round</t>
  </si>
  <si>
    <t>Pkts.</t>
  </si>
  <si>
    <t>Brown Tape</t>
  </si>
  <si>
    <t>pkt</t>
  </si>
  <si>
    <t>Patti File</t>
  </si>
  <si>
    <t>Temporary Lanyard</t>
  </si>
  <si>
    <t>Stainless Steel Scale 12 "</t>
  </si>
  <si>
    <t>Pic</t>
  </si>
  <si>
    <t xml:space="preserve">Order  </t>
  </si>
  <si>
    <t>Opening</t>
  </si>
  <si>
    <t>Total</t>
  </si>
  <si>
    <t>Emp Count</t>
  </si>
  <si>
    <t>Order</t>
  </si>
  <si>
    <t>Coffee beans</t>
  </si>
  <si>
    <t>Kg</t>
  </si>
  <si>
    <t xml:space="preserve">Sugar Sachet White </t>
  </si>
  <si>
    <t>Stirrer</t>
  </si>
  <si>
    <t>Nos</t>
  </si>
  <si>
    <t>Milk</t>
  </si>
  <si>
    <t>1ltr</t>
  </si>
  <si>
    <t>Grand Total</t>
  </si>
  <si>
    <t>Remark</t>
  </si>
  <si>
    <t>PKT</t>
  </si>
  <si>
    <t>Per head Cost</t>
  </si>
  <si>
    <t xml:space="preserve">Pkt </t>
  </si>
  <si>
    <t>Good Night Refill</t>
  </si>
  <si>
    <t>Radium Sunboard</t>
  </si>
  <si>
    <t>Masking Tape 1"</t>
  </si>
  <si>
    <t>DAY</t>
  </si>
  <si>
    <t>Sr No.</t>
  </si>
  <si>
    <t>Employee Name</t>
  </si>
  <si>
    <t>Designation</t>
  </si>
  <si>
    <t xml:space="preserve">Per day amt </t>
  </si>
  <si>
    <t>Present</t>
  </si>
  <si>
    <t>Absent</t>
  </si>
  <si>
    <t>WO</t>
  </si>
  <si>
    <t>HD</t>
  </si>
  <si>
    <t>Total Day
[P+HD]</t>
  </si>
  <si>
    <t>OT Hours</t>
  </si>
  <si>
    <t>OT Days</t>
  </si>
  <si>
    <t>Total Working Days</t>
  </si>
  <si>
    <t xml:space="preserve">TotalAmount </t>
  </si>
  <si>
    <t>Total -</t>
  </si>
  <si>
    <t>Present Days</t>
  </si>
  <si>
    <t>Head Count</t>
  </si>
  <si>
    <t>Per Day</t>
  </si>
  <si>
    <t>Amounrt</t>
  </si>
  <si>
    <t>Security Guard</t>
  </si>
  <si>
    <t>OOPL</t>
  </si>
  <si>
    <t>Manisha Gaikwad</t>
  </si>
  <si>
    <t>Sr No</t>
  </si>
  <si>
    <t>Total Day
[P+W/O+HD]</t>
  </si>
  <si>
    <t>Adesh Nikam</t>
  </si>
  <si>
    <t>Pantry Boy</t>
  </si>
  <si>
    <t xml:space="preserve">Hk Boy </t>
  </si>
  <si>
    <t>Laxmi Kardak</t>
  </si>
  <si>
    <t>Head count</t>
  </si>
  <si>
    <t xml:space="preserve">Per day </t>
  </si>
  <si>
    <t>PB</t>
  </si>
  <si>
    <t>Hk Boy</t>
  </si>
  <si>
    <t>CM</t>
  </si>
  <si>
    <t>VENDOR NAME</t>
  </si>
  <si>
    <t>Office No</t>
  </si>
  <si>
    <t>BILL MONTH</t>
  </si>
  <si>
    <t>BILL DATE</t>
  </si>
  <si>
    <t>BILL NO</t>
  </si>
  <si>
    <t>Expenses Type</t>
  </si>
  <si>
    <t>BASIC VALUE</t>
  </si>
  <si>
    <t xml:space="preserve">SGST </t>
  </si>
  <si>
    <t>TOTAL</t>
  </si>
  <si>
    <t>Compiteble Toner Cartridje 137a HP</t>
  </si>
  <si>
    <t>Dish Wash Liquid</t>
  </si>
  <si>
    <t>Vim Bar</t>
  </si>
  <si>
    <t>Scrub Pad</t>
  </si>
  <si>
    <t>Garbage Bag (19*21)</t>
  </si>
  <si>
    <t>Yellow Duster</t>
  </si>
  <si>
    <t>Checks Duster</t>
  </si>
  <si>
    <t>Glass Duster</t>
  </si>
  <si>
    <t>Dish Cleaner Duster</t>
  </si>
  <si>
    <t>Soft Broom</t>
  </si>
  <si>
    <t>Wet Mop Refill Cotton</t>
  </si>
  <si>
    <t>Dry Mop Refill</t>
  </si>
  <si>
    <t>R6</t>
  </si>
  <si>
    <t>R2</t>
  </si>
  <si>
    <t>Premier Facial Tissue</t>
  </si>
  <si>
    <t>Hand Tissue</t>
  </si>
  <si>
    <t>Carpet Brush</t>
  </si>
  <si>
    <t>Hard Broom</t>
  </si>
  <si>
    <t>Dust Pan</t>
  </si>
  <si>
    <t>T - Brush Set</t>
  </si>
  <si>
    <t>Big Dust Bin - 80 Lit</t>
  </si>
  <si>
    <t>Chock Up Pump</t>
  </si>
  <si>
    <t>Room Freshner</t>
  </si>
  <si>
    <t>R5</t>
  </si>
  <si>
    <t>R3</t>
  </si>
  <si>
    <t>R1</t>
  </si>
  <si>
    <t>Bottle Brush</t>
  </si>
  <si>
    <t>Wet Mop Set</t>
  </si>
  <si>
    <t>Dry Mop Set</t>
  </si>
  <si>
    <t>Mosquito Bat</t>
  </si>
  <si>
    <t>Dettol Hand Wash</t>
  </si>
  <si>
    <t>Dust Bin Small</t>
  </si>
  <si>
    <t>Water Bottle</t>
  </si>
  <si>
    <t>Scrapper</t>
  </si>
  <si>
    <t>R4</t>
  </si>
  <si>
    <t>Rat Pad</t>
  </si>
  <si>
    <t>Cafeteria Caddy</t>
  </si>
  <si>
    <t>Micro Fiber Duster</t>
  </si>
  <si>
    <t>Wet Mop Stick</t>
  </si>
  <si>
    <t>Hand Brush</t>
  </si>
  <si>
    <t>Acid Strong</t>
  </si>
  <si>
    <t>Colour Goli Kohinoor</t>
  </si>
  <si>
    <t>Odonil</t>
  </si>
  <si>
    <t>Stainless Steel Scrubber</t>
  </si>
  <si>
    <t>Nos.(500 ml)</t>
  </si>
  <si>
    <t>Kg.</t>
  </si>
  <si>
    <t xml:space="preserve">Pkt -30 NOS </t>
  </si>
  <si>
    <t xml:space="preserve">Pkt -10 NOS </t>
  </si>
  <si>
    <t>Pcs.</t>
  </si>
  <si>
    <t>Can</t>
  </si>
  <si>
    <t>Can (5 Ltr.)</t>
  </si>
  <si>
    <t>Set</t>
  </si>
  <si>
    <t xml:space="preserve">Nos </t>
  </si>
  <si>
    <t>5Ltr</t>
  </si>
  <si>
    <t>5ltr</t>
  </si>
  <si>
    <t>Opening Balance</t>
  </si>
  <si>
    <t>Delivery Jar</t>
  </si>
  <si>
    <t>Collected Empty Jar</t>
  </si>
  <si>
    <t>Total Usage</t>
  </si>
  <si>
    <t>Qty</t>
  </si>
  <si>
    <t>Water Report</t>
  </si>
  <si>
    <t>USE</t>
  </si>
  <si>
    <t>Closing</t>
  </si>
  <si>
    <t>CGST</t>
  </si>
  <si>
    <t>SGST</t>
  </si>
  <si>
    <t xml:space="preserve">Date </t>
  </si>
  <si>
    <t xml:space="preserve">Opening </t>
  </si>
  <si>
    <t>Closening</t>
  </si>
  <si>
    <t>MWH Cons</t>
  </si>
  <si>
    <t>MF</t>
  </si>
  <si>
    <t>C/M</t>
  </si>
  <si>
    <t>S/G</t>
  </si>
  <si>
    <t>Compiteble Toner Cartridje 388A</t>
  </si>
  <si>
    <t xml:space="preserve">S/G </t>
  </si>
  <si>
    <t xml:space="preserve">L S/G </t>
  </si>
  <si>
    <t>ELC Reading UPS Room</t>
  </si>
  <si>
    <t xml:space="preserve"> Cons</t>
  </si>
  <si>
    <t>Days</t>
  </si>
  <si>
    <t>V/N</t>
  </si>
  <si>
    <t>Dinner Order</t>
  </si>
  <si>
    <t>Dinner Count</t>
  </si>
  <si>
    <t>Lunch Order</t>
  </si>
  <si>
    <t>Lunch Count</t>
  </si>
  <si>
    <t>Total Order</t>
  </si>
  <si>
    <t>Total Count</t>
  </si>
  <si>
    <t>Sai Caters</t>
  </si>
  <si>
    <t xml:space="preserve">Security Manpower Attendance for the Month of </t>
  </si>
  <si>
    <t xml:space="preserve">Per day Amt </t>
  </si>
  <si>
    <t>Utility EB (KWH)</t>
  </si>
  <si>
    <t>Utility  DG (KWH)</t>
  </si>
  <si>
    <t>Utility EB (KVAH)</t>
  </si>
  <si>
    <t>Utility  DG (KVAH)</t>
  </si>
  <si>
    <t>Time</t>
  </si>
  <si>
    <t>Cons</t>
  </si>
  <si>
    <t>DG KWH</t>
  </si>
  <si>
    <t>DG KVAH</t>
  </si>
  <si>
    <t>DATE</t>
  </si>
  <si>
    <t>EB KWH</t>
  </si>
  <si>
    <t>EB KVAH</t>
  </si>
  <si>
    <t>CONS</t>
  </si>
  <si>
    <t xml:space="preserve">Total Unit </t>
  </si>
  <si>
    <t xml:space="preserve">Mantri Office New EB Meter Reading- May - 2024 </t>
  </si>
  <si>
    <t xml:space="preserve">Mantri Office New DG Meter Reading- May - 2024 </t>
  </si>
  <si>
    <t>Reading AHU Room (Water Chiller)</t>
  </si>
  <si>
    <t xml:space="preserve"> (KVAH)</t>
  </si>
  <si>
    <t>(KWH)</t>
  </si>
  <si>
    <t>EB</t>
  </si>
  <si>
    <t>DG</t>
  </si>
  <si>
    <t>Electricity</t>
  </si>
  <si>
    <t>HVAC</t>
  </si>
  <si>
    <t>BTU Reading</t>
  </si>
  <si>
    <t>ID NO</t>
  </si>
  <si>
    <t>Vendor</t>
  </si>
  <si>
    <t>Brand</t>
  </si>
  <si>
    <t>Order Amount</t>
  </si>
  <si>
    <t>Closing Amount</t>
  </si>
  <si>
    <t>Bisleri</t>
  </si>
  <si>
    <t>500ML</t>
  </si>
  <si>
    <t>deduction (Fine)</t>
  </si>
  <si>
    <t>Volini Spray</t>
  </si>
  <si>
    <t>Cipladine Powder</t>
  </si>
  <si>
    <t>Volini Gel</t>
  </si>
  <si>
    <t>Volini</t>
  </si>
  <si>
    <t>Cotton Roll</t>
  </si>
  <si>
    <t>Seser</t>
  </si>
  <si>
    <t>ORS Powder 20gm</t>
  </si>
  <si>
    <t>Roll</t>
  </si>
  <si>
    <t>Cotton absorbent big</t>
  </si>
  <si>
    <t xml:space="preserve">Cotton absorbent Small </t>
  </si>
  <si>
    <t>Compiteble Toner Cartridje 110A</t>
  </si>
  <si>
    <t xml:space="preserve">Madhav Tekkam </t>
  </si>
  <si>
    <t>Bhayyasaheb Sonkamble</t>
  </si>
  <si>
    <t>Diksha Ingole</t>
  </si>
  <si>
    <t>IMPERIAL  SERVICES</t>
  </si>
  <si>
    <t>PB1</t>
  </si>
  <si>
    <t>9 V Battery</t>
  </si>
  <si>
    <t>SheetTool</t>
  </si>
  <si>
    <t>Usage  Stock</t>
  </si>
  <si>
    <t>Closing    Stock</t>
  </si>
  <si>
    <t>Usage Amount</t>
  </si>
  <si>
    <t>Stationery</t>
  </si>
  <si>
    <t>HK Material</t>
  </si>
  <si>
    <t>NA</t>
  </si>
  <si>
    <t>Company Name</t>
  </si>
  <si>
    <t>Inside Meter</t>
  </si>
  <si>
    <t>OutSide Meter</t>
  </si>
  <si>
    <t>Auto</t>
  </si>
  <si>
    <t>Mantri Office Utility MSEB and DG Meter</t>
  </si>
  <si>
    <r>
      <t xml:space="preserve">Utility EB </t>
    </r>
    <r>
      <rPr>
        <b/>
        <sz val="10"/>
        <color rgb="FFFF0000"/>
        <rFont val="Calibri"/>
        <family val="2"/>
      </rPr>
      <t>(KWH)</t>
    </r>
  </si>
  <si>
    <t xml:space="preserve">Mantri Building Meter </t>
  </si>
  <si>
    <t>A - Wing Chiller Panel</t>
  </si>
  <si>
    <t xml:space="preserve">CGST </t>
  </si>
  <si>
    <t>Mantri Order Taken</t>
  </si>
  <si>
    <t>WTC Order Taken</t>
  </si>
  <si>
    <t>Other Sources</t>
  </si>
  <si>
    <t>Order Amount With GST</t>
  </si>
  <si>
    <t>Bisleri_Consu</t>
  </si>
  <si>
    <t>Medical_Items</t>
  </si>
  <si>
    <t>ACTUAL STOCK</t>
  </si>
  <si>
    <t>Maple Solution</t>
  </si>
  <si>
    <t>Xdbs Black Lanyard</t>
  </si>
  <si>
    <t>Xdbs Black Manager Lanyard</t>
  </si>
  <si>
    <t>Garbage Bag Big</t>
  </si>
  <si>
    <t>Datta Caters</t>
  </si>
  <si>
    <t>Veebha Tea&amp;Coffee</t>
  </si>
  <si>
    <t>Food Consu</t>
  </si>
  <si>
    <t>Unit</t>
  </si>
  <si>
    <t>Tea Perimax</t>
  </si>
  <si>
    <t>Veebha</t>
  </si>
  <si>
    <t>PKT. (750ML)</t>
  </si>
  <si>
    <t>Sumant Tea&amp;Coffee</t>
  </si>
  <si>
    <t>Toner Consu</t>
  </si>
  <si>
    <t>Water</t>
  </si>
  <si>
    <t>Gallent SG</t>
  </si>
  <si>
    <t>Service Charge</t>
  </si>
  <si>
    <t>Total + Service Charge</t>
  </si>
  <si>
    <t>GST</t>
  </si>
  <si>
    <t>Total + Service Charge + GST</t>
  </si>
  <si>
    <t>OOPL SG</t>
  </si>
  <si>
    <t>Imperial HK</t>
  </si>
  <si>
    <t xml:space="preserve">            Housekeeping Manpower Attendance for the month of </t>
  </si>
  <si>
    <t>Soframycin Cream</t>
  </si>
  <si>
    <t>Fixation Tape</t>
  </si>
  <si>
    <t>Hansaplast Bandage</t>
  </si>
  <si>
    <t>Hansaplast Spot (Round)</t>
  </si>
  <si>
    <t>Glucon-D (Glucose)</t>
  </si>
  <si>
    <t>Dettol Small</t>
  </si>
  <si>
    <t>Cipladine Cream</t>
  </si>
  <si>
    <t>Betnovate Cream</t>
  </si>
  <si>
    <t>XDBS Red Lanyard</t>
  </si>
  <si>
    <t xml:space="preserve">Cheque Envelops </t>
  </si>
  <si>
    <t>Foam tape new brand</t>
  </si>
  <si>
    <t>File  Tag</t>
  </si>
  <si>
    <t xml:space="preserve">Paint Marker </t>
  </si>
  <si>
    <t xml:space="preserve">Permanent Marker  </t>
  </si>
  <si>
    <t xml:space="preserve">Staplar Pin Small </t>
  </si>
  <si>
    <t>Glue Stic 8 gms</t>
  </si>
  <si>
    <t>"U"Clip 26 mm</t>
  </si>
  <si>
    <t>Binder Clip Big 32 mm</t>
  </si>
  <si>
    <t>Binder Clip 19 mm</t>
  </si>
  <si>
    <t xml:space="preserve">Push Pin </t>
  </si>
  <si>
    <t xml:space="preserve">Red Adhesive Tape Double Side </t>
  </si>
  <si>
    <t>ID Card Holder</t>
  </si>
  <si>
    <t>Fevi Kwik 0.5 gms</t>
  </si>
  <si>
    <t>Temporary ID Card</t>
  </si>
  <si>
    <t>A/4  Image Copier Paper</t>
  </si>
  <si>
    <t>Button Folder (Cloth Patti)</t>
  </si>
  <si>
    <t>Sticker Labelbig size</t>
  </si>
  <si>
    <t>Nippo Battery -AA</t>
  </si>
  <si>
    <t>Nippo Battery -AAA</t>
  </si>
  <si>
    <t>Notice Bord Pin</t>
  </si>
  <si>
    <t>CD Marker Pen</t>
  </si>
  <si>
    <t>Piani file</t>
  </si>
  <si>
    <t>Ball Pen Black Writometer</t>
  </si>
  <si>
    <t>White Board 2*3</t>
  </si>
  <si>
    <t>Ball Pen with stand</t>
  </si>
  <si>
    <t>Kangaro Stapler HP 45</t>
  </si>
  <si>
    <t>Cable Tag 150 mm</t>
  </si>
  <si>
    <t>Rubber Stamp Stand</t>
  </si>
  <si>
    <t>XEROX</t>
  </si>
  <si>
    <t>Marker Tie 100 mm</t>
  </si>
  <si>
    <t>Paper  try 4in1</t>
  </si>
  <si>
    <t xml:space="preserve">Plastic Envelope  Folder </t>
  </si>
  <si>
    <t>Punch Folder</t>
  </si>
  <si>
    <t>Id Card Printing</t>
  </si>
  <si>
    <t xml:space="preserve">Sprial Pad No 90 </t>
  </si>
  <si>
    <t>A4Executive Bond Paper 100gsm</t>
  </si>
  <si>
    <t>File separator</t>
  </si>
  <si>
    <t>Stapler Big HP- 45</t>
  </si>
  <si>
    <t>Camllin Cd Marker Pen</t>
  </si>
  <si>
    <t>Id Card Cover Double</t>
  </si>
  <si>
    <t>Oreva Spikeguard  4mtr</t>
  </si>
  <si>
    <t>A/4 Photo Frame</t>
  </si>
  <si>
    <t>Ball Pen</t>
  </si>
  <si>
    <t>Blinder Clip 25mm</t>
  </si>
  <si>
    <t>Cable Tag 150 mm big</t>
  </si>
  <si>
    <t>Sticker Label</t>
  </si>
  <si>
    <t>Sudarshan Dairy 100 pages</t>
  </si>
  <si>
    <t>Kangaro pin</t>
  </si>
  <si>
    <t>Scissor (Big)</t>
  </si>
  <si>
    <t>Measure Tape 5 Mtr Freeman</t>
  </si>
  <si>
    <t>Visiting Card Printing</t>
  </si>
  <si>
    <t>First Aid Box</t>
  </si>
  <si>
    <t>Rajal/Vagad</t>
  </si>
  <si>
    <t>Jemine</t>
  </si>
  <si>
    <t>Vedant</t>
  </si>
  <si>
    <t>Wonder</t>
  </si>
  <si>
    <t>Natraj</t>
  </si>
  <si>
    <t>Local Brand</t>
  </si>
  <si>
    <t>Camlin</t>
  </si>
  <si>
    <t>Kangaro</t>
  </si>
  <si>
    <t>Prime</t>
  </si>
  <si>
    <t>Luxury</t>
  </si>
  <si>
    <t>Pikpens</t>
  </si>
  <si>
    <t xml:space="preserve">Past it </t>
  </si>
  <si>
    <t>Gorilla/Music</t>
  </si>
  <si>
    <t>Lion/Leo</t>
  </si>
  <si>
    <t>Pidilite</t>
  </si>
  <si>
    <t>Music</t>
  </si>
  <si>
    <t>Apsara</t>
  </si>
  <si>
    <t>Intex</t>
  </si>
  <si>
    <t>Andhara/Century</t>
  </si>
  <si>
    <t>Mark</t>
  </si>
  <si>
    <t>Nippo</t>
  </si>
  <si>
    <t>HW</t>
  </si>
  <si>
    <t>Camlin/Kores</t>
  </si>
  <si>
    <t>Moserbaer</t>
  </si>
  <si>
    <t xml:space="preserve">Citizen </t>
  </si>
  <si>
    <t>Ajanta</t>
  </si>
  <si>
    <t xml:space="preserve">Oreva </t>
  </si>
  <si>
    <t>Bosch</t>
  </si>
  <si>
    <t xml:space="preserve">Handwash </t>
  </si>
  <si>
    <t>Nirama  Powder</t>
  </si>
  <si>
    <t xml:space="preserve">Wiper (Glass) Steel </t>
  </si>
  <si>
    <t>Collin</t>
  </si>
  <si>
    <t>Hand Gloves Red</t>
  </si>
  <si>
    <t>Red  Hit Spary</t>
  </si>
  <si>
    <t>Hand Gloves blue</t>
  </si>
  <si>
    <t>Godrej Air Freshner Bottle</t>
  </si>
  <si>
    <t xml:space="preserve">Combi Glass Wiper </t>
  </si>
  <si>
    <t>Paper Cup 150 ml</t>
  </si>
  <si>
    <t xml:space="preserve">Dry  Mop Set 24 Blue Colur </t>
  </si>
  <si>
    <t>TR 101</t>
  </si>
  <si>
    <t xml:space="preserve">Nylon Scrubber </t>
  </si>
  <si>
    <t>Empty Bottle  Sanitizer</t>
  </si>
  <si>
    <t>Green Garbage bag Big</t>
  </si>
  <si>
    <t xml:space="preserve">Taski  D7 </t>
  </si>
  <si>
    <t>Dry Mop Clip 18 inch</t>
  </si>
  <si>
    <t>Kictten wiper</t>
  </si>
  <si>
    <t xml:space="preserve">Toilet Brush round </t>
  </si>
  <si>
    <t>Tissue roll big</t>
  </si>
  <si>
    <t xml:space="preserve">Urinal Screen </t>
  </si>
  <si>
    <t>Himalaya Hand Sanitizer</t>
  </si>
  <si>
    <t>Lather tissue box</t>
  </si>
  <si>
    <t xml:space="preserve">Max M fold Tissue </t>
  </si>
  <si>
    <t>Serving tray</t>
  </si>
  <si>
    <t xml:space="preserve">Hand Sainitizer Gel </t>
  </si>
  <si>
    <t xml:space="preserve"> Surgical Mask</t>
  </si>
  <si>
    <t>Vim</t>
  </si>
  <si>
    <t>vim</t>
  </si>
  <si>
    <t>Wheel</t>
  </si>
  <si>
    <t xml:space="preserve">A1 </t>
  </si>
  <si>
    <t>Citi Clean</t>
  </si>
  <si>
    <t>Scotch</t>
  </si>
  <si>
    <t>Taj</t>
  </si>
  <si>
    <t>Taski</t>
  </si>
  <si>
    <t>Premier</t>
  </si>
  <si>
    <t>Prince</t>
  </si>
  <si>
    <t>Himalya</t>
  </si>
  <si>
    <t>Hit</t>
  </si>
  <si>
    <t>Balaji</t>
  </si>
  <si>
    <t>Dettol</t>
  </si>
  <si>
    <t>G Pet</t>
  </si>
  <si>
    <t>Pooja</t>
  </si>
  <si>
    <t>Ondirect RED Lanyard</t>
  </si>
  <si>
    <t>Ondirect Grey Lanyard</t>
  </si>
  <si>
    <t>Ondirect Black Lanyard</t>
  </si>
  <si>
    <t>Legal Paper Rim</t>
  </si>
  <si>
    <t>Pkt.</t>
  </si>
  <si>
    <t>Sheet Protector A4 (100)</t>
  </si>
  <si>
    <t>Green Envelope A3 Size</t>
  </si>
  <si>
    <t>Post it Pad  3*3</t>
  </si>
  <si>
    <t>Sheet Protector A4 (240)</t>
  </si>
  <si>
    <t>Sheet Protector FC Legal (240)</t>
  </si>
  <si>
    <t xml:space="preserve">Temporary ID Cover </t>
  </si>
  <si>
    <t>Company</t>
  </si>
  <si>
    <t>Laser Toner Black</t>
  </si>
  <si>
    <t>Laser Toner Yellow</t>
  </si>
  <si>
    <t>Laser Toner Magenta</t>
  </si>
  <si>
    <t>Qualead</t>
  </si>
  <si>
    <t>K Aviation</t>
  </si>
  <si>
    <t>Yellow Spunch</t>
  </si>
  <si>
    <t>Popi Mahanta</t>
  </si>
  <si>
    <t>Masking Tape 2"</t>
  </si>
  <si>
    <t>Calculator</t>
  </si>
  <si>
    <t>Fether brush (Small)</t>
  </si>
  <si>
    <t>Fether brush (Big)</t>
  </si>
  <si>
    <t>Sangeeta Vishwakarma</t>
  </si>
  <si>
    <t>Green Envelope Small Size</t>
  </si>
  <si>
    <t>250 ML</t>
  </si>
  <si>
    <t>Duro Cell AA</t>
  </si>
  <si>
    <t>Duro Cell AAA</t>
  </si>
  <si>
    <t>Duro</t>
  </si>
  <si>
    <t>Post it Pad 3 x 3- 3 colour</t>
  </si>
  <si>
    <t>Pratiksha Shendge</t>
  </si>
  <si>
    <t>Gauze Bandage Small</t>
  </si>
  <si>
    <t>Ram Machare</t>
  </si>
  <si>
    <t>White Board Markar Red</t>
  </si>
  <si>
    <t>Underrated Lanyard</t>
  </si>
  <si>
    <t>White Envelop A4 Size</t>
  </si>
  <si>
    <t>Gaurav Dake</t>
  </si>
  <si>
    <t>Register Book Big 3 Quire</t>
  </si>
  <si>
    <t>Register Book Small 2 Quire</t>
  </si>
  <si>
    <t>Stamp Pad Blue</t>
  </si>
  <si>
    <t>Ravindra Kale</t>
  </si>
  <si>
    <t>Saroj Shukla</t>
  </si>
  <si>
    <t>Kaushalya Pawar</t>
  </si>
  <si>
    <t>Bhagwan Tatikundalwar</t>
  </si>
  <si>
    <t>Gangadhar Gonekar</t>
  </si>
  <si>
    <t>A4 Size Cloth Green Envelope</t>
  </si>
  <si>
    <t>Box.</t>
  </si>
  <si>
    <t>Balaji Sonkamble</t>
  </si>
  <si>
    <t>Gopalkrushn Ankamwar</t>
  </si>
  <si>
    <t>Shivprasad Harijan</t>
  </si>
  <si>
    <t>Plastic Keychain</t>
  </si>
  <si>
    <t>Mithilesh Singh</t>
  </si>
  <si>
    <t>P</t>
  </si>
  <si>
    <t>A</t>
  </si>
  <si>
    <t>Omkar Chavan</t>
  </si>
  <si>
    <t>Whisper choice</t>
  </si>
  <si>
    <t>Epson 008 Black Ink</t>
  </si>
  <si>
    <t>Epson 008 Colour Ink C,M,Y</t>
  </si>
  <si>
    <t>Bapu Waghmare</t>
  </si>
  <si>
    <t>Laser Toner Blue (Cyan)</t>
  </si>
  <si>
    <t>ANF/KFT/KCOB</t>
  </si>
  <si>
    <t>KOS/I Tech/KRL</t>
  </si>
  <si>
    <t>P6</t>
  </si>
  <si>
    <t>Hanumant</t>
  </si>
  <si>
    <t>Rushikesh Khandagale</t>
  </si>
  <si>
    <t>P3</t>
  </si>
  <si>
    <t>P2</t>
  </si>
  <si>
    <t>Ashok Singh</t>
  </si>
  <si>
    <t>Rajendra Jadhav</t>
  </si>
  <si>
    <t>Jagdev</t>
  </si>
  <si>
    <t>Sahil Dake</t>
  </si>
  <si>
    <t>P7</t>
  </si>
  <si>
    <t>P4</t>
  </si>
  <si>
    <t>SOC</t>
  </si>
  <si>
    <t>Extra Bill</t>
  </si>
  <si>
    <t>Office Order 1</t>
  </si>
  <si>
    <t>Office Order 2</t>
  </si>
  <si>
    <t>GALLANT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</si>
</sst>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3" formatCode="_ * #,##0.00_ ;_ * \-#,##0.00_ ;_ * &quot;-&quot;??_ ;_ @_ "/>
    <numFmt numFmtId="164" formatCode="_(* #,##0.00_);_(* \(#,##0.00\);_(* &quot;-&quot;??_);_(@_)"/>
    <numFmt numFmtId="165" formatCode="* #,##0.00\ ;* \-#,##0.00\ ;* \-#\ ;@\ "/>
    <numFmt numFmtId="166" formatCode="* #,##0\ ;* \-#,##0\ ;* \-#\ ;@\ "/>
    <numFmt numFmtId="167" formatCode="#,##0\ ;\-#,##0\ ;\-#\ ;@\ "/>
    <numFmt numFmtId="168" formatCode="dd/mmm/yy;@"/>
    <numFmt numFmtId="169" formatCode="d\ mmm\ yy"/>
    <numFmt numFmtId="170" formatCode="d/mmm;@"/>
    <numFmt numFmtId="171" formatCode="_ * #,##0_ ;_ * \-#,##0_ ;_ * \-??_ ;_ @_ "/>
    <numFmt numFmtId="172" formatCode="#,##0.00&quot; &quot;;&quot;-&quot;#,##0.00&quot; &quot;;&quot;-&quot;#&quot; &quot;;&quot; &quot;@&quot; &quot;"/>
    <numFmt numFmtId="173" formatCode="_(* #,##0.00_);_(* \(#,##0.00\);_(* \-??_);_(@_)"/>
    <numFmt numFmtId="174" formatCode="#,##0.00&quot; &quot;;&quot;-&quot;#,##0.00&quot; &quot;;&quot;-&quot;#&quot; &quot;;@&quot; &quot;"/>
    <numFmt numFmtId="175" formatCode="#,##0.00&quot; &quot;[$€-407];[Red]&quot;-&quot;#,##0.00&quot; &quot;[$€-407]"/>
    <numFmt numFmtId="176" formatCode="_ &quot;Rs.&quot;\ * #,##0.00_ ;_ &quot;Rs.&quot;\ * \-#,##0.00_ ;_ &quot;Rs.&quot;\ * &quot;-&quot;??_ ;_ @_ "/>
    <numFmt numFmtId="177" formatCode="_ * #,##0.00_ ;_ * \-#,##0.00_ ;_ * \-??_ ;_ @_ "/>
    <numFmt numFmtId="178" formatCode="mmmm\-yy"/>
    <numFmt numFmtId="179" formatCode="0.00000"/>
    <numFmt numFmtId="180" formatCode="0.0000"/>
    <numFmt numFmtId="181" formatCode="[$-14009]dd/mm/yyyy;@"/>
    <numFmt numFmtId="182" formatCode="_ * #,##0_ ;_ * \-#,##0_ ;_ * &quot;-&quot;??_ ;_ @_ "/>
    <numFmt numFmtId="183" formatCode="[$-F800]dddd\,\ mmmm\ dd\,\ yyyy"/>
    <numFmt numFmtId="184" formatCode="#,##0.00\ ;\-#,##0.00\ ;\-#.00\ ;@\ "/>
  </numFmts>
  <fonts count="75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charset val="1"/>
    </font>
    <font>
      <sz val="8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1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b/>
      <i/>
      <sz val="16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Liberation Sans"/>
      <family val="2"/>
    </font>
    <font>
      <b/>
      <i/>
      <u/>
      <sz val="11"/>
      <color theme="1"/>
      <name val="Arial"/>
      <family val="2"/>
    </font>
    <font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charset val="1"/>
    </font>
    <font>
      <sz val="11"/>
      <name val="Calibri"/>
      <family val="2"/>
      <charset val="1"/>
      <scheme val="minor"/>
    </font>
    <font>
      <sz val="11"/>
      <color theme="1"/>
      <name val="Palatino Linotype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Palatino Linotype"/>
      <family val="1"/>
    </font>
    <font>
      <b/>
      <sz val="18"/>
      <color theme="1"/>
      <name val="Palatino Linotype"/>
      <family val="1"/>
    </font>
    <font>
      <b/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b/>
      <u/>
      <sz val="12"/>
      <name val="Palatino Linotype"/>
      <family val="1"/>
    </font>
    <font>
      <sz val="11"/>
      <name val="Calibri"/>
      <family val="2"/>
      <scheme val="minor"/>
    </font>
    <font>
      <sz val="12"/>
      <name val="Palatino Linotype"/>
      <family val="1"/>
    </font>
    <font>
      <b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Palatino Linotype"/>
      <family val="1"/>
    </font>
    <font>
      <b/>
      <sz val="18"/>
      <color rgb="FF000000"/>
      <name val="Palatino Linotype"/>
      <family val="1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Palatino Linotype"/>
      <family val="1"/>
    </font>
    <font>
      <b/>
      <sz val="10"/>
      <name val="Palatino Linotype"/>
      <family val="1"/>
    </font>
    <font>
      <sz val="16"/>
      <name val="Palatino Linotype"/>
      <family val="1"/>
    </font>
    <font>
      <sz val="14"/>
      <color theme="1"/>
      <name val="Palatino Linotype"/>
      <family val="1"/>
    </font>
    <font>
      <b/>
      <sz val="14"/>
      <color rgb="FF000000"/>
      <name val="Calibri"/>
      <family val="2"/>
    </font>
    <font>
      <b/>
      <sz val="20"/>
      <color theme="1"/>
      <name val="Palatino Linotype"/>
      <family val="1"/>
    </font>
    <font>
      <b/>
      <sz val="14"/>
      <name val="Calibri"/>
      <family val="2"/>
    </font>
    <font>
      <b/>
      <sz val="14"/>
      <color theme="1"/>
      <name val="Palatino Linotype"/>
      <family val="1"/>
    </font>
    <font>
      <b/>
      <sz val="10"/>
      <color rgb="FFFF0000"/>
      <name val="Calibri"/>
      <family val="2"/>
    </font>
    <font>
      <b/>
      <sz val="14"/>
      <name val="Palatino Linotype"/>
      <family val="1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DD7EE"/>
        <bgColor rgb="FF000000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</borders>
  <cellStyleXfs count="103">
    <xf numFmtId="0" fontId="0" fillId="0" borderId="0"/>
    <xf numFmtId="165" fontId="24" fillId="0" borderId="0" applyBorder="0" applyProtection="0"/>
    <xf numFmtId="0" fontId="24" fillId="0" borderId="0"/>
    <xf numFmtId="172" fontId="25" fillId="0" borderId="0" applyBorder="0" applyProtection="0"/>
    <xf numFmtId="0" fontId="26" fillId="0" borderId="0"/>
    <xf numFmtId="173" fontId="26" fillId="0" borderId="0" applyFill="0" applyBorder="0" applyAlignment="0" applyProtection="0"/>
    <xf numFmtId="0" fontId="27" fillId="0" borderId="0"/>
    <xf numFmtId="0" fontId="28" fillId="0" borderId="0"/>
    <xf numFmtId="0" fontId="29" fillId="0" borderId="0" applyNumberFormat="0" applyBorder="0" applyProtection="0"/>
    <xf numFmtId="0" fontId="21" fillId="0" borderId="0"/>
    <xf numFmtId="43" fontId="21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174" fontId="29" fillId="0" borderId="0" applyBorder="0" applyProtection="0"/>
    <xf numFmtId="0" fontId="29" fillId="0" borderId="0"/>
    <xf numFmtId="165" fontId="24" fillId="0" borderId="0" applyBorder="0" applyProtection="0"/>
    <xf numFmtId="173" fontId="26" fillId="0" borderId="0" applyFill="0" applyBorder="0" applyAlignment="0" applyProtection="0"/>
    <xf numFmtId="9" fontId="25" fillId="3" borderId="0"/>
    <xf numFmtId="174" fontId="29" fillId="0" borderId="0"/>
    <xf numFmtId="172" fontId="25" fillId="0" borderId="0" applyBorder="0" applyProtection="0"/>
    <xf numFmtId="0" fontId="29" fillId="0" borderId="0" applyNumberFormat="0" applyBorder="0" applyProtection="0"/>
    <xf numFmtId="0" fontId="24" fillId="0" borderId="0"/>
    <xf numFmtId="0" fontId="30" fillId="0" borderId="0">
      <alignment horizontal="center"/>
    </xf>
    <xf numFmtId="0" fontId="30" fillId="0" borderId="0">
      <alignment horizontal="center" textRotation="90"/>
    </xf>
    <xf numFmtId="0" fontId="26" fillId="0" borderId="0"/>
    <xf numFmtId="0" fontId="27" fillId="0" borderId="0"/>
    <xf numFmtId="0" fontId="31" fillId="0" borderId="0"/>
    <xf numFmtId="0" fontId="28" fillId="0" borderId="0"/>
    <xf numFmtId="0" fontId="32" fillId="0" borderId="0"/>
    <xf numFmtId="0" fontId="32" fillId="0" borderId="0"/>
    <xf numFmtId="0" fontId="26" fillId="0" borderId="0"/>
    <xf numFmtId="0" fontId="31" fillId="0" borderId="0"/>
    <xf numFmtId="0" fontId="24" fillId="0" borderId="0"/>
    <xf numFmtId="9" fontId="24" fillId="0" borderId="0" applyBorder="0" applyProtection="0"/>
    <xf numFmtId="0" fontId="33" fillId="0" borderId="0"/>
    <xf numFmtId="175" fontId="33" fillId="0" borderId="0"/>
    <xf numFmtId="0" fontId="19" fillId="0" borderId="0"/>
    <xf numFmtId="43" fontId="19" fillId="0" borderId="0" applyFont="0" applyFill="0" applyBorder="0" applyAlignment="0" applyProtection="0"/>
    <xf numFmtId="176" fontId="24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177" fontId="27" fillId="0" borderId="0" applyFill="0" applyBorder="0" applyAlignment="0" applyProtection="0"/>
    <xf numFmtId="0" fontId="26" fillId="0" borderId="0"/>
    <xf numFmtId="176" fontId="18" fillId="0" borderId="0" applyFont="0" applyFill="0" applyBorder="0" applyAlignment="0" applyProtection="0"/>
    <xf numFmtId="0" fontId="24" fillId="0" borderId="0"/>
    <xf numFmtId="165" fontId="24" fillId="0" borderId="0" applyBorder="0" applyProtection="0"/>
    <xf numFmtId="43" fontId="24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0" fontId="15" fillId="0" borderId="0"/>
    <xf numFmtId="43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176" fontId="1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/>
    <xf numFmtId="43" fontId="13" fillId="0" borderId="0" applyFont="0" applyFill="0" applyBorder="0" applyAlignment="0" applyProtection="0"/>
    <xf numFmtId="0" fontId="24" fillId="0" borderId="0"/>
    <xf numFmtId="0" fontId="12" fillId="0" borderId="0"/>
    <xf numFmtId="43" fontId="12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0" fillId="0" borderId="0"/>
    <xf numFmtId="43" fontId="10" fillId="0" borderId="0" applyFont="0" applyFill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8" fillId="0" borderId="0"/>
    <xf numFmtId="0" fontId="24" fillId="0" borderId="0"/>
    <xf numFmtId="43" fontId="8" fillId="0" borderId="0" applyFont="0" applyFill="0" applyBorder="0" applyAlignment="0" applyProtection="0"/>
    <xf numFmtId="0" fontId="8" fillId="0" borderId="0"/>
  </cellStyleXfs>
  <cellXfs count="461">
    <xf numFmtId="0" fontId="0" fillId="0" borderId="0" xfId="0"/>
    <xf numFmtId="0" fontId="35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39" fillId="0" borderId="0" xfId="0" applyFont="1"/>
    <xf numFmtId="0" fontId="39" fillId="0" borderId="0" xfId="0" applyFont="1" applyAlignment="1">
      <alignment horizontal="center"/>
    </xf>
    <xf numFmtId="0" fontId="40" fillId="0" borderId="0" xfId="0" applyFont="1"/>
    <xf numFmtId="0" fontId="0" fillId="0" borderId="0" xfId="0" applyAlignment="1">
      <alignment horizontal="center"/>
    </xf>
    <xf numFmtId="0" fontId="45" fillId="6" borderId="5" xfId="0" applyFont="1" applyFill="1" applyBorder="1" applyAlignment="1">
      <alignment horizontal="center" vertical="center" textRotation="90"/>
    </xf>
    <xf numFmtId="0" fontId="45" fillId="6" borderId="5" xfId="0" applyFont="1" applyFill="1" applyBorder="1" applyAlignment="1">
      <alignment horizontal="center" vertical="center"/>
    </xf>
    <xf numFmtId="0" fontId="45" fillId="6" borderId="5" xfId="0" applyFont="1" applyFill="1" applyBorder="1" applyAlignment="1">
      <alignment horizontal="center" vertical="center" wrapText="1"/>
    </xf>
    <xf numFmtId="16" fontId="45" fillId="6" borderId="5" xfId="0" applyNumberFormat="1" applyFont="1" applyFill="1" applyBorder="1" applyAlignment="1">
      <alignment horizontal="center" vertical="center" textRotation="90"/>
    </xf>
    <xf numFmtId="0" fontId="46" fillId="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 applyProtection="1">
      <alignment horizontal="left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2" fontId="48" fillId="0" borderId="5" xfId="0" applyNumberFormat="1" applyFont="1" applyBorder="1" applyAlignment="1" applyProtection="1">
      <alignment horizontal="center" vertical="center"/>
      <protection locked="0"/>
    </xf>
    <xf numFmtId="0" fontId="48" fillId="0" borderId="5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48" fillId="0" borderId="0" xfId="0" applyFont="1"/>
    <xf numFmtId="0" fontId="42" fillId="7" borderId="5" xfId="0" applyFont="1" applyFill="1" applyBorder="1" applyAlignment="1" applyProtection="1">
      <alignment horizontal="center" vertical="center"/>
      <protection locked="0"/>
    </xf>
    <xf numFmtId="0" fontId="42" fillId="7" borderId="5" xfId="0" applyFont="1" applyFill="1" applyBorder="1" applyAlignment="1" applyProtection="1">
      <alignment horizontal="center" vertical="center" wrapText="1"/>
      <protection locked="0"/>
    </xf>
    <xf numFmtId="0" fontId="0" fillId="0" borderId="6" xfId="0" applyBorder="1" applyAlignment="1">
      <alignment horizontal="left"/>
    </xf>
    <xf numFmtId="0" fontId="0" fillId="0" borderId="18" xfId="0" applyBorder="1"/>
    <xf numFmtId="0" fontId="0" fillId="0" borderId="2" xfId="0" applyBorder="1"/>
    <xf numFmtId="9" fontId="0" fillId="0" borderId="0" xfId="0" applyNumberFormat="1"/>
    <xf numFmtId="43" fontId="0" fillId="0" borderId="0" xfId="0" applyNumberFormat="1"/>
    <xf numFmtId="0" fontId="45" fillId="6" borderId="1" xfId="0" applyFont="1" applyFill="1" applyBorder="1" applyAlignment="1">
      <alignment horizontal="center" vertical="center"/>
    </xf>
    <xf numFmtId="0" fontId="45" fillId="6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/>
    <xf numFmtId="14" fontId="0" fillId="0" borderId="5" xfId="0" applyNumberFormat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55" fillId="0" borderId="4" xfId="0" applyFont="1" applyBorder="1" applyAlignment="1">
      <alignment horizontal="center" vertical="center"/>
    </xf>
    <xf numFmtId="0" fontId="55" fillId="0" borderId="5" xfId="0" applyFon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14" fontId="0" fillId="8" borderId="5" xfId="0" applyNumberFormat="1" applyFill="1" applyBorder="1" applyAlignment="1">
      <alignment horizontal="center" vertical="center"/>
    </xf>
    <xf numFmtId="20" fontId="0" fillId="8" borderId="5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164" fontId="0" fillId="0" borderId="0" xfId="0" applyNumberFormat="1"/>
    <xf numFmtId="0" fontId="0" fillId="0" borderId="4" xfId="0" applyBorder="1" applyAlignment="1" applyProtection="1">
      <alignment horizontal="center" vertical="center"/>
      <protection locked="0"/>
    </xf>
    <xf numFmtId="0" fontId="48" fillId="0" borderId="4" xfId="0" applyFont="1" applyBorder="1" applyAlignment="1" applyProtection="1">
      <alignment horizontal="center" vertical="center"/>
      <protection locked="0"/>
    </xf>
    <xf numFmtId="2" fontId="0" fillId="0" borderId="18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left" vertical="center"/>
      <protection locked="0"/>
    </xf>
    <xf numFmtId="0" fontId="48" fillId="8" borderId="5" xfId="0" applyFont="1" applyFill="1" applyBorder="1" applyAlignment="1" applyProtection="1">
      <alignment horizontal="center" vertical="center"/>
      <protection locked="0"/>
    </xf>
    <xf numFmtId="2" fontId="48" fillId="8" borderId="5" xfId="0" applyNumberFormat="1" applyFont="1" applyFill="1" applyBorder="1" applyAlignment="1" applyProtection="1">
      <alignment horizontal="center" vertical="center"/>
      <protection locked="0"/>
    </xf>
    <xf numFmtId="0" fontId="64" fillId="0" borderId="0" xfId="97" applyFont="1"/>
    <xf numFmtId="0" fontId="41" fillId="0" borderId="0" xfId="97" applyFont="1" applyAlignment="1">
      <alignment horizontal="center"/>
    </xf>
    <xf numFmtId="0" fontId="62" fillId="0" borderId="21" xfId="97" applyFont="1" applyBorder="1"/>
    <xf numFmtId="0" fontId="62" fillId="0" borderId="22" xfId="97" applyFont="1" applyBorder="1"/>
    <xf numFmtId="0" fontId="62" fillId="0" borderId="23" xfId="97" applyFont="1" applyBorder="1"/>
    <xf numFmtId="0" fontId="41" fillId="0" borderId="0" xfId="97" applyFont="1"/>
    <xf numFmtId="0" fontId="43" fillId="6" borderId="42" xfId="97" applyFont="1" applyFill="1" applyBorder="1" applyAlignment="1">
      <alignment vertical="center"/>
    </xf>
    <xf numFmtId="0" fontId="43" fillId="6" borderId="43" xfId="97" applyFont="1" applyFill="1" applyBorder="1" applyAlignment="1">
      <alignment vertical="center"/>
    </xf>
    <xf numFmtId="0" fontId="43" fillId="6" borderId="44" xfId="97" applyFont="1" applyFill="1" applyBorder="1" applyAlignment="1">
      <alignment horizontal="center" vertical="center"/>
    </xf>
    <xf numFmtId="16" fontId="46" fillId="6" borderId="45" xfId="97" applyNumberFormat="1" applyFont="1" applyFill="1" applyBorder="1" applyAlignment="1">
      <alignment horizontal="center" vertical="center" textRotation="90"/>
    </xf>
    <xf numFmtId="16" fontId="46" fillId="6" borderId="42" xfId="97" applyNumberFormat="1" applyFont="1" applyFill="1" applyBorder="1" applyAlignment="1">
      <alignment vertical="center" textRotation="90"/>
    </xf>
    <xf numFmtId="16" fontId="46" fillId="6" borderId="43" xfId="97" applyNumberFormat="1" applyFont="1" applyFill="1" applyBorder="1" applyAlignment="1">
      <alignment vertical="center" textRotation="90"/>
    </xf>
    <xf numFmtId="16" fontId="46" fillId="6" borderId="44" xfId="97" applyNumberFormat="1" applyFont="1" applyFill="1" applyBorder="1" applyAlignment="1">
      <alignment vertical="center" textRotation="90"/>
    </xf>
    <xf numFmtId="0" fontId="43" fillId="6" borderId="46" xfId="97" applyFont="1" applyFill="1" applyBorder="1" applyAlignment="1">
      <alignment horizontal="center" vertical="center" wrapText="1"/>
    </xf>
    <xf numFmtId="0" fontId="43" fillId="6" borderId="46" xfId="97" applyFont="1" applyFill="1" applyBorder="1" applyAlignment="1">
      <alignment horizontal="center" vertical="center"/>
    </xf>
    <xf numFmtId="0" fontId="46" fillId="6" borderId="46" xfId="97" applyFont="1" applyFill="1" applyBorder="1" applyAlignment="1">
      <alignment horizontal="center" vertical="center"/>
    </xf>
    <xf numFmtId="0" fontId="46" fillId="6" borderId="46" xfId="97" applyFont="1" applyFill="1" applyBorder="1" applyAlignment="1">
      <alignment horizontal="center" vertical="center" wrapText="1"/>
    </xf>
    <xf numFmtId="0" fontId="9" fillId="0" borderId="45" xfId="97" applyBorder="1" applyAlignment="1" applyProtection="1">
      <alignment horizontal="center" vertical="center"/>
      <protection locked="0"/>
    </xf>
    <xf numFmtId="0" fontId="46" fillId="0" borderId="0" xfId="97" applyFont="1" applyAlignment="1">
      <alignment horizontal="center" vertical="center"/>
    </xf>
    <xf numFmtId="0" fontId="46" fillId="8" borderId="0" xfId="97" applyFont="1" applyFill="1" applyAlignment="1">
      <alignment horizontal="left" vertical="center"/>
    </xf>
    <xf numFmtId="43" fontId="49" fillId="0" borderId="0" xfId="98" applyFont="1" applyFill="1" applyBorder="1" applyAlignment="1" applyProtection="1">
      <alignment horizontal="center" vertical="center"/>
    </xf>
    <xf numFmtId="43" fontId="41" fillId="0" borderId="0" xfId="97" applyNumberFormat="1" applyFont="1"/>
    <xf numFmtId="0" fontId="46" fillId="6" borderId="24" xfId="97" applyFont="1" applyFill="1" applyBorder="1" applyAlignment="1">
      <alignment horizontal="center" vertical="center"/>
    </xf>
    <xf numFmtId="0" fontId="46" fillId="6" borderId="20" xfId="97" applyFont="1" applyFill="1" applyBorder="1" applyAlignment="1">
      <alignment horizontal="center" vertical="center" wrapText="1"/>
    </xf>
    <xf numFmtId="0" fontId="46" fillId="6" borderId="25" xfId="97" applyFont="1" applyFill="1" applyBorder="1" applyAlignment="1">
      <alignment horizontal="center" vertical="center" wrapText="1"/>
    </xf>
    <xf numFmtId="0" fontId="46" fillId="0" borderId="5" xfId="97" applyFont="1" applyBorder="1" applyAlignment="1">
      <alignment horizontal="center" vertical="center"/>
    </xf>
    <xf numFmtId="43" fontId="46" fillId="0" borderId="26" xfId="97" applyNumberFormat="1" applyFont="1" applyBorder="1" applyAlignment="1">
      <alignment horizontal="center" vertical="center"/>
    </xf>
    <xf numFmtId="0" fontId="41" fillId="0" borderId="5" xfId="97" applyFont="1" applyBorder="1" applyAlignment="1">
      <alignment horizontal="center" vertical="center"/>
    </xf>
    <xf numFmtId="43" fontId="46" fillId="0" borderId="2" xfId="97" applyNumberFormat="1" applyFont="1" applyBorder="1" applyAlignment="1">
      <alignment horizontal="center" vertical="center"/>
    </xf>
    <xf numFmtId="0" fontId="46" fillId="6" borderId="19" xfId="97" applyFont="1" applyFill="1" applyBorder="1" applyAlignment="1">
      <alignment horizontal="center"/>
    </xf>
    <xf numFmtId="43" fontId="41" fillId="0" borderId="0" xfId="98" applyFont="1" applyProtection="1"/>
    <xf numFmtId="9" fontId="41" fillId="0" borderId="0" xfId="97" applyNumberFormat="1" applyFont="1"/>
    <xf numFmtId="0" fontId="9" fillId="8" borderId="45" xfId="97" applyFill="1" applyBorder="1" applyAlignment="1" applyProtection="1">
      <alignment horizontal="center" vertical="center"/>
      <protection locked="0"/>
    </xf>
    <xf numFmtId="0" fontId="8" fillId="0" borderId="0" xfId="99"/>
    <xf numFmtId="0" fontId="8" fillId="4" borderId="0" xfId="99" applyFill="1"/>
    <xf numFmtId="14" fontId="8" fillId="4" borderId="0" xfId="99" applyNumberFormat="1" applyFill="1"/>
    <xf numFmtId="166" fontId="35" fillId="4" borderId="5" xfId="15" applyNumberFormat="1" applyFont="1" applyFill="1" applyBorder="1" applyAlignment="1" applyProtection="1">
      <alignment horizontal="center" vertical="center" wrapText="1"/>
    </xf>
    <xf numFmtId="182" fontId="35" fillId="4" borderId="5" xfId="101" applyNumberFormat="1" applyFont="1" applyFill="1" applyBorder="1" applyAlignment="1" applyProtection="1">
      <alignment horizontal="center" vertical="center" wrapText="1"/>
    </xf>
    <xf numFmtId="1" fontId="8" fillId="0" borderId="5" xfId="99" applyNumberFormat="1" applyBorder="1" applyAlignment="1">
      <alignment horizontal="center" vertical="center"/>
    </xf>
    <xf numFmtId="165" fontId="35" fillId="4" borderId="5" xfId="15" applyFont="1" applyFill="1" applyBorder="1" applyAlignment="1" applyProtection="1">
      <alignment horizontal="center" vertical="center" wrapText="1"/>
    </xf>
    <xf numFmtId="168" fontId="35" fillId="4" borderId="5" xfId="15" applyNumberFormat="1" applyFont="1" applyFill="1" applyBorder="1" applyAlignment="1" applyProtection="1">
      <alignment horizontal="center" vertical="center" wrapText="1"/>
    </xf>
    <xf numFmtId="43" fontId="0" fillId="0" borderId="5" xfId="101" applyFont="1" applyBorder="1" applyAlignment="1">
      <alignment horizontal="center" vertical="center"/>
    </xf>
    <xf numFmtId="14" fontId="54" fillId="0" borderId="7" xfId="0" applyNumberFormat="1" applyFont="1" applyBorder="1" applyAlignment="1">
      <alignment horizontal="center" vertical="center"/>
    </xf>
    <xf numFmtId="14" fontId="0" fillId="0" borderId="20" xfId="0" applyNumberFormat="1" applyBorder="1" applyAlignment="1">
      <alignment horizontal="center" vertical="center"/>
    </xf>
    <xf numFmtId="0" fontId="39" fillId="0" borderId="20" xfId="0" applyFont="1" applyBorder="1"/>
    <xf numFmtId="0" fontId="0" fillId="8" borderId="20" xfId="0" applyFill="1" applyBorder="1"/>
    <xf numFmtId="0" fontId="39" fillId="0" borderId="7" xfId="0" applyFont="1" applyBorder="1"/>
    <xf numFmtId="0" fontId="22" fillId="0" borderId="20" xfId="0" applyFont="1" applyBorder="1" applyAlignment="1">
      <alignment vertical="center"/>
    </xf>
    <xf numFmtId="2" fontId="54" fillId="8" borderId="20" xfId="0" applyNumberFormat="1" applyFont="1" applyFill="1" applyBorder="1" applyAlignment="1">
      <alignment horizontal="center" vertical="center"/>
    </xf>
    <xf numFmtId="165" fontId="24" fillId="0" borderId="5" xfId="1" applyBorder="1" applyAlignment="1">
      <alignment horizontal="center" vertical="center"/>
    </xf>
    <xf numFmtId="182" fontId="35" fillId="4" borderId="1" xfId="101" applyNumberFormat="1" applyFont="1" applyFill="1" applyBorder="1" applyAlignment="1" applyProtection="1">
      <alignment vertical="center" wrapText="1"/>
    </xf>
    <xf numFmtId="0" fontId="54" fillId="12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35" fillId="10" borderId="0" xfId="0" applyFont="1" applyFill="1" applyAlignment="1">
      <alignment horizontal="center"/>
    </xf>
    <xf numFmtId="0" fontId="54" fillId="10" borderId="5" xfId="0" applyFont="1" applyFill="1" applyBorder="1" applyAlignment="1">
      <alignment vertical="center"/>
    </xf>
    <xf numFmtId="0" fontId="54" fillId="0" borderId="6" xfId="0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/>
    </xf>
    <xf numFmtId="2" fontId="22" fillId="17" borderId="5" xfId="0" applyNumberFormat="1" applyFont="1" applyFill="1" applyBorder="1" applyAlignment="1">
      <alignment horizontal="center" vertical="center"/>
    </xf>
    <xf numFmtId="2" fontId="22" fillId="17" borderId="1" xfId="0" applyNumberFormat="1" applyFont="1" applyFill="1" applyBorder="1" applyAlignment="1">
      <alignment horizontal="center" vertical="center"/>
    </xf>
    <xf numFmtId="14" fontId="39" fillId="17" borderId="5" xfId="0" applyNumberFormat="1" applyFont="1" applyFill="1" applyBorder="1" applyAlignment="1">
      <alignment horizontal="center"/>
    </xf>
    <xf numFmtId="14" fontId="22" fillId="17" borderId="5" xfId="0" applyNumberFormat="1" applyFont="1" applyFill="1" applyBorder="1" applyAlignment="1">
      <alignment horizontal="center" vertical="center"/>
    </xf>
    <xf numFmtId="14" fontId="22" fillId="17" borderId="1" xfId="0" applyNumberFormat="1" applyFont="1" applyFill="1" applyBorder="1" applyAlignment="1">
      <alignment horizontal="center" vertical="center"/>
    </xf>
    <xf numFmtId="14" fontId="39" fillId="17" borderId="1" xfId="0" applyNumberFormat="1" applyFont="1" applyFill="1" applyBorder="1" applyAlignment="1">
      <alignment horizontal="center"/>
    </xf>
    <xf numFmtId="0" fontId="39" fillId="0" borderId="21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9" fontId="35" fillId="0" borderId="22" xfId="0" applyNumberFormat="1" applyFont="1" applyBorder="1" applyAlignment="1">
      <alignment horizontal="center" vertical="center"/>
    </xf>
    <xf numFmtId="179" fontId="35" fillId="0" borderId="23" xfId="0" applyNumberFormat="1" applyFont="1" applyBorder="1" applyAlignment="1">
      <alignment horizontal="center" vertical="center"/>
    </xf>
    <xf numFmtId="0" fontId="54" fillId="0" borderId="0" xfId="0" applyFont="1"/>
    <xf numFmtId="0" fontId="54" fillId="0" borderId="5" xfId="0" applyFont="1" applyBorder="1" applyAlignment="1">
      <alignment horizontal="center" vertical="center"/>
    </xf>
    <xf numFmtId="179" fontId="0" fillId="18" borderId="5" xfId="0" applyNumberFormat="1" applyFill="1" applyBorder="1" applyAlignment="1">
      <alignment horizontal="center" vertical="center"/>
    </xf>
    <xf numFmtId="179" fontId="0" fillId="18" borderId="1" xfId="0" applyNumberFormat="1" applyFill="1" applyBorder="1" applyAlignment="1">
      <alignment horizontal="center" vertical="center"/>
    </xf>
    <xf numFmtId="14" fontId="22" fillId="18" borderId="5" xfId="0" applyNumberFormat="1" applyFont="1" applyFill="1" applyBorder="1" applyAlignment="1">
      <alignment horizontal="center" vertical="center"/>
    </xf>
    <xf numFmtId="14" fontId="22" fillId="18" borderId="1" xfId="0" applyNumberFormat="1" applyFont="1" applyFill="1" applyBorder="1" applyAlignment="1">
      <alignment horizontal="center" vertical="center"/>
    </xf>
    <xf numFmtId="14" fontId="39" fillId="18" borderId="5" xfId="0" applyNumberFormat="1" applyFont="1" applyFill="1" applyBorder="1" applyAlignment="1">
      <alignment horizontal="center"/>
    </xf>
    <xf numFmtId="0" fontId="54" fillId="7" borderId="1" xfId="0" applyFont="1" applyFill="1" applyBorder="1" applyAlignment="1">
      <alignment vertical="center"/>
    </xf>
    <xf numFmtId="0" fontId="54" fillId="14" borderId="5" xfId="0" applyFont="1" applyFill="1" applyBorder="1" applyAlignment="1">
      <alignment horizontal="center" vertical="center"/>
    </xf>
    <xf numFmtId="0" fontId="54" fillId="7" borderId="5" xfId="0" applyFont="1" applyFill="1" applyBorder="1" applyAlignment="1">
      <alignment vertical="center"/>
    </xf>
    <xf numFmtId="0" fontId="54" fillId="7" borderId="4" xfId="0" applyFont="1" applyFill="1" applyBorder="1" applyAlignment="1">
      <alignment vertical="center"/>
    </xf>
    <xf numFmtId="0" fontId="38" fillId="16" borderId="24" xfId="99" applyFont="1" applyFill="1" applyBorder="1" applyAlignment="1">
      <alignment horizontal="left" vertical="center"/>
    </xf>
    <xf numFmtId="0" fontId="38" fillId="16" borderId="25" xfId="99" applyFont="1" applyFill="1" applyBorder="1" applyAlignment="1">
      <alignment horizontal="left" vertical="center"/>
    </xf>
    <xf numFmtId="0" fontId="38" fillId="16" borderId="25" xfId="99" applyFont="1" applyFill="1" applyBorder="1" applyAlignment="1">
      <alignment horizontal="center" vertical="center"/>
    </xf>
    <xf numFmtId="0" fontId="38" fillId="16" borderId="25" xfId="99" applyFont="1" applyFill="1" applyBorder="1" applyAlignment="1">
      <alignment vertical="center"/>
    </xf>
    <xf numFmtId="43" fontId="38" fillId="16" borderId="25" xfId="101" applyFont="1" applyFill="1" applyBorder="1" applyAlignment="1" applyProtection="1">
      <alignment horizontal="center" vertical="center"/>
    </xf>
    <xf numFmtId="0" fontId="8" fillId="0" borderId="5" xfId="99" applyBorder="1"/>
    <xf numFmtId="0" fontId="8" fillId="0" borderId="5" xfId="99" applyBorder="1" applyAlignment="1">
      <alignment horizontal="left" vertical="center"/>
    </xf>
    <xf numFmtId="14" fontId="8" fillId="0" borderId="4" xfId="99" applyNumberFormat="1" applyBorder="1" applyAlignment="1">
      <alignment horizontal="center" vertical="center"/>
    </xf>
    <xf numFmtId="0" fontId="8" fillId="0" borderId="5" xfId="99" applyBorder="1" applyAlignment="1">
      <alignment vertical="center"/>
    </xf>
    <xf numFmtId="0" fontId="8" fillId="0" borderId="5" xfId="99" applyBorder="1" applyAlignment="1">
      <alignment horizontal="center" vertical="center"/>
    </xf>
    <xf numFmtId="17" fontId="8" fillId="0" borderId="4" xfId="99" applyNumberFormat="1" applyBorder="1" applyAlignment="1">
      <alignment horizontal="center" vertical="center"/>
    </xf>
    <xf numFmtId="43" fontId="0" fillId="0" borderId="4" xfId="101" applyFont="1" applyBorder="1" applyAlignment="1" applyProtection="1">
      <alignment vertical="center"/>
    </xf>
    <xf numFmtId="43" fontId="0" fillId="0" borderId="5" xfId="101" applyFont="1" applyBorder="1" applyAlignment="1" applyProtection="1">
      <alignment vertical="center"/>
    </xf>
    <xf numFmtId="43" fontId="0" fillId="0" borderId="4" xfId="101" applyFont="1" applyBorder="1" applyAlignment="1" applyProtection="1">
      <alignment horizontal="left" vertical="center"/>
    </xf>
    <xf numFmtId="43" fontId="70" fillId="0" borderId="0" xfId="99" applyNumberFormat="1" applyFont="1"/>
    <xf numFmtId="0" fontId="70" fillId="0" borderId="0" xfId="99" applyFont="1"/>
    <xf numFmtId="0" fontId="23" fillId="0" borderId="0" xfId="100" applyFont="1"/>
    <xf numFmtId="0" fontId="23" fillId="0" borderId="0" xfId="100" applyFont="1" applyAlignment="1">
      <alignment horizontal="left"/>
    </xf>
    <xf numFmtId="0" fontId="23" fillId="0" borderId="0" xfId="100" applyFont="1" applyAlignment="1">
      <alignment horizontal="center"/>
    </xf>
    <xf numFmtId="0" fontId="23" fillId="0" borderId="0" xfId="100" applyFont="1" applyAlignment="1">
      <alignment horizontal="left" vertical="center"/>
    </xf>
    <xf numFmtId="0" fontId="23" fillId="0" borderId="0" xfId="100" applyFont="1" applyAlignment="1">
      <alignment horizontal="center" vertical="top"/>
    </xf>
    <xf numFmtId="0" fontId="34" fillId="0" borderId="0" xfId="100" applyFont="1"/>
    <xf numFmtId="169" fontId="34" fillId="0" borderId="0" xfId="100" applyNumberFormat="1" applyFont="1" applyAlignment="1">
      <alignment horizontal="center" vertical="center" wrapText="1"/>
    </xf>
    <xf numFmtId="169" fontId="34" fillId="0" borderId="0" xfId="100" applyNumberFormat="1" applyFont="1" applyAlignment="1">
      <alignment horizontal="center" vertical="top" wrapText="1"/>
    </xf>
    <xf numFmtId="0" fontId="34" fillId="0" borderId="0" xfId="100" applyFont="1" applyAlignment="1">
      <alignment horizontal="center" vertical="center"/>
    </xf>
    <xf numFmtId="0" fontId="34" fillId="0" borderId="0" xfId="100" applyFont="1" applyAlignment="1">
      <alignment horizontal="left"/>
    </xf>
    <xf numFmtId="0" fontId="34" fillId="0" borderId="0" xfId="100" applyFont="1" applyAlignment="1">
      <alignment horizontal="left" vertical="center"/>
    </xf>
    <xf numFmtId="0" fontId="34" fillId="0" borderId="0" xfId="100" applyFont="1" applyAlignment="1">
      <alignment horizontal="center"/>
    </xf>
    <xf numFmtId="0" fontId="34" fillId="0" borderId="0" xfId="100" applyFont="1" applyAlignment="1">
      <alignment horizontal="center" vertical="top"/>
    </xf>
    <xf numFmtId="0" fontId="35" fillId="0" borderId="0" xfId="100" applyFont="1" applyAlignment="1">
      <alignment vertical="center"/>
    </xf>
    <xf numFmtId="0" fontId="35" fillId="0" borderId="0" xfId="100" applyFont="1" applyAlignment="1">
      <alignment horizontal="left"/>
    </xf>
    <xf numFmtId="168" fontId="35" fillId="0" borderId="0" xfId="15" applyNumberFormat="1" applyFont="1" applyBorder="1" applyAlignment="1" applyProtection="1">
      <alignment horizontal="left" vertical="center"/>
    </xf>
    <xf numFmtId="0" fontId="35" fillId="0" borderId="0" xfId="100" applyFont="1" applyAlignment="1">
      <alignment horizontal="center"/>
    </xf>
    <xf numFmtId="166" fontId="35" fillId="15" borderId="5" xfId="15" applyNumberFormat="1" applyFont="1" applyFill="1" applyBorder="1" applyAlignment="1" applyProtection="1">
      <alignment horizontal="center" vertical="center" wrapText="1"/>
    </xf>
    <xf numFmtId="0" fontId="35" fillId="4" borderId="1" xfId="100" applyFont="1" applyFill="1" applyBorder="1" applyAlignment="1">
      <alignment horizontal="center" vertical="center" textRotation="90"/>
    </xf>
    <xf numFmtId="0" fontId="35" fillId="4" borderId="5" xfId="100" applyFont="1" applyFill="1" applyBorder="1" applyAlignment="1">
      <alignment horizontal="center" vertical="center" wrapText="1"/>
    </xf>
    <xf numFmtId="0" fontId="35" fillId="4" borderId="5" xfId="100" applyFont="1" applyFill="1" applyBorder="1" applyAlignment="1">
      <alignment horizontal="center" vertical="center"/>
    </xf>
    <xf numFmtId="166" fontId="35" fillId="4" borderId="5" xfId="15" applyNumberFormat="1" applyFont="1" applyFill="1" applyBorder="1" applyAlignment="1" applyProtection="1">
      <alignment horizontal="left" vertical="center" wrapText="1"/>
    </xf>
    <xf numFmtId="166" fontId="35" fillId="5" borderId="5" xfId="15" applyNumberFormat="1" applyFont="1" applyFill="1" applyBorder="1" applyAlignment="1" applyProtection="1">
      <alignment horizontal="center" vertical="center" wrapText="1"/>
    </xf>
    <xf numFmtId="170" fontId="36" fillId="4" borderId="5" xfId="15" applyNumberFormat="1" applyFont="1" applyFill="1" applyBorder="1" applyAlignment="1" applyProtection="1">
      <alignment horizontal="center" vertical="center" textRotation="90" wrapText="1"/>
    </xf>
    <xf numFmtId="1" fontId="36" fillId="4" borderId="5" xfId="15" applyNumberFormat="1" applyFont="1" applyFill="1" applyBorder="1" applyAlignment="1" applyProtection="1">
      <alignment horizontal="center"/>
    </xf>
    <xf numFmtId="0" fontId="23" fillId="0" borderId="5" xfId="100" applyFont="1" applyBorder="1" applyAlignment="1">
      <alignment horizontal="center" vertical="center"/>
    </xf>
    <xf numFmtId="1" fontId="36" fillId="4" borderId="6" xfId="15" applyNumberFormat="1" applyFont="1" applyFill="1" applyBorder="1" applyAlignment="1" applyProtection="1">
      <alignment horizontal="center"/>
    </xf>
    <xf numFmtId="167" fontId="35" fillId="4" borderId="5" xfId="100" applyNumberFormat="1" applyFont="1" applyFill="1" applyBorder="1" applyAlignment="1">
      <alignment horizontal="center" vertical="center"/>
    </xf>
    <xf numFmtId="184" fontId="35" fillId="4" borderId="5" xfId="100" applyNumberFormat="1" applyFont="1" applyFill="1" applyBorder="1" applyAlignment="1">
      <alignment horizontal="center" vertical="center"/>
    </xf>
    <xf numFmtId="0" fontId="24" fillId="0" borderId="0" xfId="100"/>
    <xf numFmtId="0" fontId="23" fillId="0" borderId="5" xfId="100" applyFont="1" applyBorder="1"/>
    <xf numFmtId="0" fontId="35" fillId="4" borderId="5" xfId="100" applyFont="1" applyFill="1" applyBorder="1"/>
    <xf numFmtId="0" fontId="23" fillId="4" borderId="5" xfId="100" applyFont="1" applyFill="1" applyBorder="1" applyAlignment="1">
      <alignment horizontal="center" vertical="center"/>
    </xf>
    <xf numFmtId="1" fontId="22" fillId="18" borderId="5" xfId="100" applyNumberFormat="1" applyFont="1" applyFill="1" applyBorder="1" applyAlignment="1">
      <alignment horizontal="center"/>
    </xf>
    <xf numFmtId="167" fontId="36" fillId="18" borderId="5" xfId="100" applyNumberFormat="1" applyFont="1" applyFill="1" applyBorder="1" applyAlignment="1">
      <alignment horizontal="center" vertical="center"/>
    </xf>
    <xf numFmtId="184" fontId="36" fillId="18" borderId="5" xfId="100" applyNumberFormat="1" applyFont="1" applyFill="1" applyBorder="1" applyAlignment="1">
      <alignment horizontal="center" vertical="center"/>
    </xf>
    <xf numFmtId="0" fontId="34" fillId="18" borderId="5" xfId="100" applyFont="1" applyFill="1" applyBorder="1" applyAlignment="1">
      <alignment horizontal="center" vertical="center"/>
    </xf>
    <xf numFmtId="0" fontId="23" fillId="18" borderId="5" xfId="100" applyFont="1" applyFill="1" applyBorder="1" applyAlignment="1">
      <alignment horizontal="center" vertical="center"/>
    </xf>
    <xf numFmtId="1" fontId="36" fillId="18" borderId="5" xfId="100" applyNumberFormat="1" applyFont="1" applyFill="1" applyBorder="1" applyAlignment="1">
      <alignment horizontal="center" vertical="center"/>
    </xf>
    <xf numFmtId="0" fontId="8" fillId="0" borderId="0" xfId="102" applyAlignment="1">
      <alignment horizontal="center" vertical="center"/>
    </xf>
    <xf numFmtId="1" fontId="57" fillId="4" borderId="14" xfId="100" applyNumberFormat="1" applyFont="1" applyFill="1" applyBorder="1" applyAlignment="1">
      <alignment horizontal="center" vertical="center"/>
    </xf>
    <xf numFmtId="0" fontId="58" fillId="0" borderId="0" xfId="100" applyFont="1" applyAlignment="1">
      <alignment horizontal="center" vertical="center"/>
    </xf>
    <xf numFmtId="0" fontId="24" fillId="0" borderId="0" xfId="100" applyAlignment="1">
      <alignment horizontal="center" vertical="center"/>
    </xf>
    <xf numFmtId="0" fontId="58" fillId="15" borderId="13" xfId="100" applyFont="1" applyFill="1" applyBorder="1" applyAlignment="1">
      <alignment horizontal="center" vertical="center" wrapText="1"/>
    </xf>
    <xf numFmtId="0" fontId="58" fillId="15" borderId="39" xfId="100" applyFont="1" applyFill="1" applyBorder="1" applyAlignment="1">
      <alignment horizontal="center" vertical="center" wrapText="1"/>
    </xf>
    <xf numFmtId="0" fontId="58" fillId="15" borderId="14" xfId="100" applyFont="1" applyFill="1" applyBorder="1" applyAlignment="1">
      <alignment horizontal="center" vertical="center" wrapText="1"/>
    </xf>
    <xf numFmtId="1" fontId="57" fillId="4" borderId="11" xfId="100" applyNumberFormat="1" applyFont="1" applyFill="1" applyBorder="1" applyAlignment="1">
      <alignment horizontal="center" vertical="center" wrapText="1"/>
    </xf>
    <xf numFmtId="0" fontId="58" fillId="4" borderId="10" xfId="100" applyFont="1" applyFill="1" applyBorder="1" applyAlignment="1">
      <alignment horizontal="center" vertical="center" wrapText="1"/>
    </xf>
    <xf numFmtId="0" fontId="58" fillId="4" borderId="5" xfId="100" applyFont="1" applyFill="1" applyBorder="1" applyAlignment="1">
      <alignment horizontal="center" vertical="center" wrapText="1"/>
    </xf>
    <xf numFmtId="0" fontId="58" fillId="4" borderId="6" xfId="100" applyFont="1" applyFill="1" applyBorder="1" applyAlignment="1">
      <alignment horizontal="center" vertical="center" wrapText="1"/>
    </xf>
    <xf numFmtId="0" fontId="58" fillId="4" borderId="11" xfId="100" applyFont="1" applyFill="1" applyBorder="1" applyAlignment="1">
      <alignment horizontal="center" vertical="center" wrapText="1"/>
    </xf>
    <xf numFmtId="14" fontId="24" fillId="0" borderId="10" xfId="100" applyNumberFormat="1" applyBorder="1" applyAlignment="1">
      <alignment horizontal="center" vertical="center"/>
    </xf>
    <xf numFmtId="181" fontId="24" fillId="0" borderId="5" xfId="100" applyNumberFormat="1" applyBorder="1" applyAlignment="1">
      <alignment horizontal="center" vertical="center"/>
    </xf>
    <xf numFmtId="1" fontId="24" fillId="0" borderId="11" xfId="100" applyNumberFormat="1" applyBorder="1" applyAlignment="1">
      <alignment horizontal="center" vertical="center"/>
    </xf>
    <xf numFmtId="0" fontId="24" fillId="18" borderId="10" xfId="100" applyFill="1" applyBorder="1" applyAlignment="1">
      <alignment horizontal="center" vertical="center"/>
    </xf>
    <xf numFmtId="0" fontId="24" fillId="0" borderId="32" xfId="100" applyBorder="1" applyAlignment="1">
      <alignment horizontal="center" vertical="center"/>
    </xf>
    <xf numFmtId="0" fontId="58" fillId="4" borderId="20" xfId="100" applyFont="1" applyFill="1" applyBorder="1" applyAlignment="1">
      <alignment horizontal="center" vertical="center"/>
    </xf>
    <xf numFmtId="166" fontId="65" fillId="4" borderId="2" xfId="15" applyNumberFormat="1" applyFont="1" applyFill="1" applyBorder="1" applyAlignment="1" applyProtection="1">
      <alignment horizontal="center" vertical="center" wrapText="1"/>
    </xf>
    <xf numFmtId="0" fontId="37" fillId="0" borderId="0" xfId="100" applyFont="1"/>
    <xf numFmtId="0" fontId="60" fillId="4" borderId="10" xfId="100" applyFont="1" applyFill="1" applyBorder="1" applyAlignment="1">
      <alignment horizontal="center" vertical="center" wrapText="1"/>
    </xf>
    <xf numFmtId="0" fontId="60" fillId="4" borderId="5" xfId="100" applyFont="1" applyFill="1" applyBorder="1" applyAlignment="1">
      <alignment horizontal="center" vertical="center" wrapText="1"/>
    </xf>
    <xf numFmtId="0" fontId="51" fillId="0" borderId="49" xfId="100" applyFont="1" applyBorder="1" applyAlignment="1">
      <alignment vertical="center"/>
    </xf>
    <xf numFmtId="0" fontId="51" fillId="0" borderId="50" xfId="100" applyFont="1" applyBorder="1" applyAlignment="1">
      <alignment vertical="center"/>
    </xf>
    <xf numFmtId="0" fontId="60" fillId="4" borderId="6" xfId="100" applyFont="1" applyFill="1" applyBorder="1" applyAlignment="1">
      <alignment horizontal="center" vertical="center" wrapText="1"/>
    </xf>
    <xf numFmtId="0" fontId="37" fillId="0" borderId="33" xfId="100" applyFont="1" applyBorder="1" applyAlignment="1">
      <alignment horizontal="center" vertical="center"/>
    </xf>
    <xf numFmtId="0" fontId="39" fillId="8" borderId="10" xfId="100" applyFont="1" applyFill="1" applyBorder="1" applyAlignment="1">
      <alignment horizontal="center" vertical="center"/>
    </xf>
    <xf numFmtId="14" fontId="37" fillId="11" borderId="5" xfId="100" applyNumberFormat="1" applyFont="1" applyFill="1" applyBorder="1" applyAlignment="1">
      <alignment horizontal="center" vertical="center"/>
    </xf>
    <xf numFmtId="2" fontId="37" fillId="11" borderId="5" xfId="100" applyNumberFormat="1" applyFont="1" applyFill="1" applyBorder="1" applyAlignment="1">
      <alignment horizontal="center" vertical="center"/>
    </xf>
    <xf numFmtId="0" fontId="37" fillId="0" borderId="6" xfId="100" applyFont="1" applyBorder="1" applyAlignment="1">
      <alignment horizontal="center"/>
    </xf>
    <xf numFmtId="0" fontId="50" fillId="4" borderId="10" xfId="100" applyFont="1" applyFill="1" applyBorder="1" applyAlignment="1">
      <alignment vertical="center"/>
    </xf>
    <xf numFmtId="0" fontId="50" fillId="4" borderId="5" xfId="100" applyFont="1" applyFill="1" applyBorder="1" applyAlignment="1">
      <alignment vertical="center"/>
    </xf>
    <xf numFmtId="0" fontId="50" fillId="4" borderId="5" xfId="100" applyFont="1" applyFill="1" applyBorder="1" applyAlignment="1">
      <alignment horizontal="center" vertical="center"/>
    </xf>
    <xf numFmtId="2" fontId="50" fillId="4" borderId="2" xfId="100" applyNumberFormat="1" applyFont="1" applyFill="1" applyBorder="1" applyAlignment="1">
      <alignment horizontal="center" vertical="center"/>
    </xf>
    <xf numFmtId="2" fontId="50" fillId="4" borderId="5" xfId="100" applyNumberFormat="1" applyFont="1" applyFill="1" applyBorder="1" applyAlignment="1">
      <alignment horizontal="center" vertical="center"/>
    </xf>
    <xf numFmtId="2" fontId="50" fillId="4" borderId="11" xfId="100" applyNumberFormat="1" applyFont="1" applyFill="1" applyBorder="1" applyAlignment="1">
      <alignment horizontal="center" vertical="center"/>
    </xf>
    <xf numFmtId="0" fontId="50" fillId="4" borderId="12" xfId="100" applyFont="1" applyFill="1" applyBorder="1" applyAlignment="1">
      <alignment horizontal="center"/>
    </xf>
    <xf numFmtId="0" fontId="50" fillId="4" borderId="13" xfId="100" applyFont="1" applyFill="1" applyBorder="1" applyAlignment="1">
      <alignment horizontal="center"/>
    </xf>
    <xf numFmtId="0" fontId="50" fillId="4" borderId="14" xfId="100" applyFont="1" applyFill="1" applyBorder="1" applyAlignment="1">
      <alignment horizontal="center"/>
    </xf>
    <xf numFmtId="0" fontId="37" fillId="0" borderId="10" xfId="100" applyFont="1" applyBorder="1"/>
    <xf numFmtId="0" fontId="37" fillId="0" borderId="5" xfId="100" applyFont="1" applyBorder="1" applyAlignment="1">
      <alignment horizontal="center" vertical="center"/>
    </xf>
    <xf numFmtId="165" fontId="52" fillId="0" borderId="11" xfId="45" applyFont="1" applyBorder="1"/>
    <xf numFmtId="0" fontId="50" fillId="4" borderId="7" xfId="100" applyFont="1" applyFill="1" applyBorder="1" applyAlignment="1">
      <alignment horizontal="center" vertical="center"/>
    </xf>
    <xf numFmtId="0" fontId="50" fillId="4" borderId="20" xfId="100" applyFont="1" applyFill="1" applyBorder="1" applyAlignment="1">
      <alignment horizontal="center" vertical="center"/>
    </xf>
    <xf numFmtId="0" fontId="50" fillId="4" borderId="8" xfId="100" applyFont="1" applyFill="1" applyBorder="1" applyAlignment="1">
      <alignment horizontal="center" vertical="center"/>
    </xf>
    <xf numFmtId="9" fontId="37" fillId="0" borderId="5" xfId="33" applyFont="1" applyBorder="1" applyAlignment="1" applyProtection="1">
      <alignment horizontal="center" vertical="center"/>
    </xf>
    <xf numFmtId="165" fontId="53" fillId="4" borderId="15" xfId="45" applyFont="1" applyFill="1" applyBorder="1"/>
    <xf numFmtId="0" fontId="37" fillId="0" borderId="0" xfId="100" applyFont="1" applyAlignment="1">
      <alignment horizontal="left"/>
    </xf>
    <xf numFmtId="0" fontId="37" fillId="0" borderId="0" xfId="100" applyFont="1" applyAlignment="1">
      <alignment horizontal="center"/>
    </xf>
    <xf numFmtId="0" fontId="37" fillId="0" borderId="0" xfId="100" applyFont="1" applyAlignment="1">
      <alignment horizontal="center" vertical="center"/>
    </xf>
    <xf numFmtId="2" fontId="37" fillId="0" borderId="5" xfId="100" applyNumberFormat="1" applyFont="1" applyBorder="1" applyAlignment="1">
      <alignment horizontal="center" vertical="center"/>
    </xf>
    <xf numFmtId="2" fontId="37" fillId="2" borderId="5" xfId="100" applyNumberFormat="1" applyFont="1" applyFill="1" applyBorder="1" applyAlignment="1">
      <alignment horizontal="center" vertical="center"/>
    </xf>
    <xf numFmtId="0" fontId="45" fillId="6" borderId="5" xfId="0" applyFont="1" applyFill="1" applyBorder="1" applyAlignment="1">
      <alignment vertical="center"/>
    </xf>
    <xf numFmtId="0" fontId="45" fillId="18" borderId="5" xfId="0" applyFont="1" applyFill="1" applyBorder="1" applyAlignment="1">
      <alignment horizontal="center" vertical="center"/>
    </xf>
    <xf numFmtId="14" fontId="64" fillId="0" borderId="0" xfId="97" applyNumberFormat="1" applyFont="1"/>
    <xf numFmtId="0" fontId="44" fillId="0" borderId="0" xfId="97" applyFont="1"/>
    <xf numFmtId="43" fontId="46" fillId="6" borderId="47" xfId="97" applyNumberFormat="1" applyFont="1" applyFill="1" applyBorder="1" applyAlignment="1">
      <alignment horizontal="center"/>
    </xf>
    <xf numFmtId="0" fontId="46" fillId="6" borderId="47" xfId="97" applyFont="1" applyFill="1" applyBorder="1" applyAlignment="1">
      <alignment horizontal="center"/>
    </xf>
    <xf numFmtId="1" fontId="7" fillId="0" borderId="5" xfId="99" applyNumberFormat="1" applyFont="1" applyBorder="1" applyAlignment="1">
      <alignment horizontal="center" vertical="center"/>
    </xf>
    <xf numFmtId="14" fontId="8" fillId="4" borderId="0" xfId="99" applyNumberFormat="1" applyFill="1" applyProtection="1">
      <protection locked="0"/>
    </xf>
    <xf numFmtId="0" fontId="48" fillId="0" borderId="0" xfId="100" applyFont="1" applyAlignment="1">
      <alignment horizontal="center"/>
    </xf>
    <xf numFmtId="2" fontId="22" fillId="0" borderId="5" xfId="90" applyNumberFormat="1" applyFont="1" applyBorder="1" applyAlignment="1" applyProtection="1">
      <alignment horizontal="center"/>
      <protection locked="0"/>
    </xf>
    <xf numFmtId="2" fontId="22" fillId="0" borderId="1" xfId="90" applyNumberFormat="1" applyFont="1" applyBorder="1" applyAlignment="1" applyProtection="1">
      <alignment horizontal="center"/>
      <protection locked="0"/>
    </xf>
    <xf numFmtId="2" fontId="22" fillId="0" borderId="5" xfId="0" applyNumberFormat="1" applyFont="1" applyBorder="1" applyAlignment="1" applyProtection="1">
      <alignment horizontal="center" vertical="center"/>
      <protection locked="0"/>
    </xf>
    <xf numFmtId="2" fontId="39" fillId="0" borderId="5" xfId="90" applyNumberFormat="1" applyFont="1" applyBorder="1" applyAlignment="1" applyProtection="1">
      <alignment horizontal="center"/>
      <protection locked="0"/>
    </xf>
    <xf numFmtId="2" fontId="0" fillId="8" borderId="1" xfId="0" applyNumberFormat="1" applyFill="1" applyBorder="1" applyAlignment="1" applyProtection="1">
      <alignment horizontal="center"/>
      <protection locked="0"/>
    </xf>
    <xf numFmtId="2" fontId="22" fillId="8" borderId="5" xfId="0" applyNumberFormat="1" applyFont="1" applyFill="1" applyBorder="1" applyAlignment="1" applyProtection="1">
      <alignment horizontal="center" vertical="center"/>
      <protection locked="0"/>
    </xf>
    <xf numFmtId="2" fontId="22" fillId="8" borderId="1" xfId="0" applyNumberFormat="1" applyFont="1" applyFill="1" applyBorder="1" applyAlignment="1" applyProtection="1">
      <alignment horizontal="center" vertical="center"/>
      <protection locked="0"/>
    </xf>
    <xf numFmtId="179" fontId="39" fillId="0" borderId="5" xfId="90" applyNumberFormat="1" applyFont="1" applyBorder="1" applyAlignment="1" applyProtection="1">
      <alignment horizontal="center" vertical="center"/>
      <protection locked="0"/>
    </xf>
    <xf numFmtId="179" fontId="39" fillId="0" borderId="5" xfId="90" applyNumberFormat="1" applyFont="1" applyBorder="1" applyAlignment="1" applyProtection="1">
      <alignment horizontal="center"/>
      <protection locked="0"/>
    </xf>
    <xf numFmtId="179" fontId="39" fillId="0" borderId="1" xfId="90" applyNumberFormat="1" applyFont="1" applyBorder="1" applyAlignment="1" applyProtection="1">
      <alignment horizontal="center" vertical="center"/>
      <protection locked="0"/>
    </xf>
    <xf numFmtId="179" fontId="39" fillId="0" borderId="1" xfId="90" applyNumberFormat="1" applyFont="1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80" fontId="22" fillId="0" borderId="5" xfId="90" applyNumberFormat="1" applyFont="1" applyBorder="1" applyAlignment="1" applyProtection="1">
      <alignment horizontal="center"/>
      <protection locked="0"/>
    </xf>
    <xf numFmtId="180" fontId="22" fillId="0" borderId="1" xfId="90" applyNumberFormat="1" applyFont="1" applyBorder="1" applyAlignment="1" applyProtection="1">
      <alignment horizontal="center"/>
      <protection locked="0"/>
    </xf>
    <xf numFmtId="179" fontId="0" fillId="8" borderId="5" xfId="0" applyNumberFormat="1" applyFill="1" applyBorder="1" applyAlignment="1" applyProtection="1">
      <alignment horizontal="center" vertical="center"/>
      <protection locked="0"/>
    </xf>
    <xf numFmtId="179" fontId="0" fillId="0" borderId="5" xfId="0" applyNumberFormat="1" applyBorder="1" applyAlignment="1" applyProtection="1">
      <alignment horizontal="center"/>
      <protection locked="0"/>
    </xf>
    <xf numFmtId="179" fontId="0" fillId="8" borderId="1" xfId="0" applyNumberFormat="1" applyFill="1" applyBorder="1" applyAlignment="1" applyProtection="1">
      <alignment horizontal="center" vertical="center"/>
      <protection locked="0"/>
    </xf>
    <xf numFmtId="179" fontId="22" fillId="0" borderId="5" xfId="90" applyNumberFormat="1" applyFont="1" applyBorder="1" applyAlignment="1" applyProtection="1">
      <alignment horizontal="center"/>
      <protection locked="0"/>
    </xf>
    <xf numFmtId="183" fontId="36" fillId="4" borderId="5" xfId="100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95" applyBorder="1" applyAlignment="1" applyProtection="1">
      <alignment horizontal="center" vertical="center"/>
      <protection locked="0"/>
    </xf>
    <xf numFmtId="0" fontId="8" fillId="0" borderId="5" xfId="95" applyFont="1" applyBorder="1" applyAlignment="1" applyProtection="1">
      <alignment horizontal="center" vertical="center"/>
      <protection locked="0"/>
    </xf>
    <xf numFmtId="0" fontId="24" fillId="0" borderId="5" xfId="100" applyBorder="1" applyAlignment="1" applyProtection="1">
      <alignment horizontal="center"/>
      <protection locked="0"/>
    </xf>
    <xf numFmtId="4" fontId="24" fillId="0" borderId="5" xfId="100" applyNumberFormat="1" applyBorder="1" applyAlignment="1" applyProtection="1">
      <alignment horizontal="center" vertical="center"/>
      <protection locked="0"/>
    </xf>
    <xf numFmtId="1" fontId="22" fillId="0" borderId="5" xfId="100" applyNumberFormat="1" applyFont="1" applyBorder="1" applyAlignment="1" applyProtection="1">
      <alignment horizontal="center"/>
      <protection locked="0"/>
    </xf>
    <xf numFmtId="0" fontId="24" fillId="0" borderId="5" xfId="100" applyBorder="1" applyAlignment="1" applyProtection="1">
      <alignment horizontal="center" vertical="center"/>
      <protection locked="0"/>
    </xf>
    <xf numFmtId="0" fontId="0" fillId="0" borderId="5" xfId="101" applyNumberFormat="1" applyFont="1" applyFill="1" applyBorder="1" applyAlignment="1" applyProtection="1">
      <alignment horizontal="center"/>
      <protection locked="0"/>
    </xf>
    <xf numFmtId="0" fontId="0" fillId="0" borderId="5" xfId="15" applyNumberFormat="1" applyFont="1" applyBorder="1" applyAlignment="1" applyProtection="1">
      <alignment horizontal="center"/>
      <protection locked="0"/>
    </xf>
    <xf numFmtId="167" fontId="23" fillId="0" borderId="5" xfId="100" applyNumberFormat="1" applyFont="1" applyBorder="1" applyAlignment="1" applyProtection="1">
      <alignment horizontal="center"/>
      <protection locked="0"/>
    </xf>
    <xf numFmtId="184" fontId="23" fillId="0" borderId="5" xfId="100" applyNumberFormat="1" applyFont="1" applyBorder="1" applyAlignment="1" applyProtection="1">
      <alignment horizontal="center"/>
      <protection locked="0"/>
    </xf>
    <xf numFmtId="1" fontId="36" fillId="4" borderId="5" xfId="15" applyNumberFormat="1" applyFont="1" applyFill="1" applyBorder="1" applyAlignment="1" applyProtection="1">
      <alignment horizontal="center"/>
      <protection locked="0"/>
    </xf>
    <xf numFmtId="4" fontId="10" fillId="0" borderId="5" xfId="95" applyNumberFormat="1" applyBorder="1" applyAlignment="1" applyProtection="1">
      <alignment horizontal="center" vertical="center"/>
      <protection locked="0"/>
    </xf>
    <xf numFmtId="0" fontId="0" fillId="0" borderId="5" xfId="100" applyFont="1" applyBorder="1" applyAlignment="1" applyProtection="1">
      <alignment horizontal="center" vertical="center"/>
      <protection locked="0"/>
    </xf>
    <xf numFmtId="0" fontId="24" fillId="0" borderId="10" xfId="100" applyBorder="1" applyAlignment="1" applyProtection="1">
      <alignment horizontal="center" vertical="center"/>
      <protection locked="0"/>
    </xf>
    <xf numFmtId="0" fontId="0" fillId="0" borderId="5" xfId="100" applyFont="1" applyBorder="1" applyAlignment="1" applyProtection="1">
      <alignment horizontal="center"/>
      <protection locked="0"/>
    </xf>
    <xf numFmtId="0" fontId="37" fillId="0" borderId="5" xfId="100" applyFont="1" applyBorder="1" applyAlignment="1" applyProtection="1">
      <alignment horizontal="center"/>
      <protection locked="0"/>
    </xf>
    <xf numFmtId="0" fontId="55" fillId="0" borderId="5" xfId="0" applyFont="1" applyBorder="1" applyAlignment="1" applyProtection="1">
      <alignment horizontal="center" vertical="center"/>
      <protection locked="0"/>
    </xf>
    <xf numFmtId="0" fontId="46" fillId="0" borderId="5" xfId="0" applyFont="1" applyBorder="1" applyAlignment="1" applyProtection="1">
      <alignment horizontal="left" vertic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55" fillId="0" borderId="4" xfId="0" applyFont="1" applyBorder="1" applyAlignment="1" applyProtection="1">
      <alignment horizontal="center" vertical="center"/>
      <protection locked="0"/>
    </xf>
    <xf numFmtId="0" fontId="43" fillId="0" borderId="5" xfId="0" applyFont="1" applyBorder="1" applyAlignment="1" applyProtection="1">
      <alignment horizontal="left" vertical="center"/>
      <protection locked="0"/>
    </xf>
    <xf numFmtId="0" fontId="46" fillId="2" borderId="5" xfId="0" applyFont="1" applyFill="1" applyBorder="1" applyAlignment="1" applyProtection="1">
      <alignment horizontal="center" vertical="center"/>
      <protection locked="0"/>
    </xf>
    <xf numFmtId="0" fontId="43" fillId="0" borderId="4" xfId="0" applyFont="1" applyBorder="1" applyAlignment="1" applyProtection="1">
      <alignment horizontal="left" vertical="center"/>
      <protection locked="0"/>
    </xf>
    <xf numFmtId="0" fontId="46" fillId="0" borderId="45" xfId="97" applyFont="1" applyBorder="1" applyAlignment="1" applyProtection="1">
      <alignment horizontal="center" vertical="center"/>
      <protection locked="0"/>
    </xf>
    <xf numFmtId="0" fontId="46" fillId="0" borderId="45" xfId="97" applyFont="1" applyBorder="1" applyAlignment="1" applyProtection="1">
      <alignment horizontal="left" vertical="center"/>
      <protection locked="0"/>
    </xf>
    <xf numFmtId="0" fontId="46" fillId="8" borderId="45" xfId="97" applyFont="1" applyFill="1" applyBorder="1" applyAlignment="1" applyProtection="1">
      <alignment vertical="center"/>
      <protection locked="0"/>
    </xf>
    <xf numFmtId="43" fontId="49" fillId="2" borderId="45" xfId="98" applyFont="1" applyFill="1" applyBorder="1" applyAlignment="1" applyProtection="1">
      <alignment horizontal="center" vertical="center"/>
      <protection locked="0"/>
    </xf>
    <xf numFmtId="43" fontId="49" fillId="0" borderId="45" xfId="98" applyFont="1" applyFill="1" applyBorder="1" applyAlignment="1" applyProtection="1">
      <alignment horizontal="center" vertical="center"/>
      <protection locked="0"/>
    </xf>
    <xf numFmtId="0" fontId="46" fillId="8" borderId="45" xfId="97" applyFont="1" applyFill="1" applyBorder="1" applyAlignment="1" applyProtection="1">
      <alignment horizontal="left" vertical="center"/>
      <protection locked="0"/>
    </xf>
    <xf numFmtId="0" fontId="6" fillId="0" borderId="5" xfId="95" applyFont="1" applyBorder="1" applyAlignment="1" applyProtection="1">
      <alignment horizontal="center" vertical="center"/>
      <protection locked="0"/>
    </xf>
    <xf numFmtId="0" fontId="5" fillId="0" borderId="5" xfId="95" applyFont="1" applyBorder="1" applyAlignment="1" applyProtection="1">
      <alignment horizontal="center" vertical="center"/>
      <protection locked="0"/>
    </xf>
    <xf numFmtId="0" fontId="41" fillId="0" borderId="5" xfId="0" applyFont="1" applyBorder="1" applyAlignment="1" applyProtection="1">
      <alignment horizontal="center" vertical="center"/>
      <protection locked="0"/>
    </xf>
    <xf numFmtId="2" fontId="0" fillId="0" borderId="5" xfId="0" applyNumberFormat="1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41" fillId="0" borderId="45" xfId="97" applyFont="1" applyBorder="1" applyAlignment="1" applyProtection="1">
      <alignment horizontal="center" vertical="center"/>
      <protection locked="0"/>
    </xf>
    <xf numFmtId="43" fontId="41" fillId="0" borderId="45" xfId="97" applyNumberFormat="1" applyFont="1" applyBorder="1" applyAlignment="1" applyProtection="1">
      <alignment horizontal="center" vertical="center"/>
      <protection locked="0"/>
    </xf>
    <xf numFmtId="1" fontId="22" fillId="18" borderId="5" xfId="100" applyNumberFormat="1" applyFont="1" applyFill="1" applyBorder="1" applyAlignment="1" applyProtection="1">
      <alignment horizontal="center"/>
      <protection locked="0"/>
    </xf>
    <xf numFmtId="167" fontId="36" fillId="18" borderId="5" xfId="100" applyNumberFormat="1" applyFont="1" applyFill="1" applyBorder="1" applyAlignment="1" applyProtection="1">
      <alignment horizontal="center" vertical="center"/>
      <protection locked="0"/>
    </xf>
    <xf numFmtId="184" fontId="36" fillId="18" borderId="5" xfId="100" applyNumberFormat="1" applyFont="1" applyFill="1" applyBorder="1" applyAlignment="1" applyProtection="1">
      <alignment horizontal="center" vertical="center"/>
      <protection locked="0"/>
    </xf>
    <xf numFmtId="0" fontId="34" fillId="18" borderId="5" xfId="100" applyFont="1" applyFill="1" applyBorder="1" applyAlignment="1" applyProtection="1">
      <alignment horizontal="center" vertical="center"/>
      <protection locked="0"/>
    </xf>
    <xf numFmtId="0" fontId="23" fillId="18" borderId="5" xfId="100" applyFont="1" applyFill="1" applyBorder="1" applyAlignment="1" applyProtection="1">
      <alignment horizontal="center" vertical="center"/>
      <protection locked="0"/>
    </xf>
    <xf numFmtId="0" fontId="23" fillId="0" borderId="5" xfId="100" applyFont="1" applyBorder="1" applyAlignment="1" applyProtection="1">
      <alignment horizontal="center" vertical="center"/>
      <protection locked="0"/>
    </xf>
    <xf numFmtId="1" fontId="36" fillId="18" borderId="5" xfId="100" applyNumberFormat="1" applyFont="1" applyFill="1" applyBorder="1" applyAlignment="1" applyProtection="1">
      <alignment horizontal="center" vertical="center"/>
      <protection locked="0"/>
    </xf>
    <xf numFmtId="0" fontId="45" fillId="18" borderId="5" xfId="0" applyFont="1" applyFill="1" applyBorder="1" applyAlignment="1" applyProtection="1">
      <alignment horizontal="center" vertical="center"/>
      <protection locked="0"/>
    </xf>
    <xf numFmtId="0" fontId="45" fillId="6" borderId="5" xfId="0" applyFont="1" applyFill="1" applyBorder="1" applyAlignment="1" applyProtection="1">
      <alignment horizontal="left" vertical="center"/>
      <protection locked="0"/>
    </xf>
    <xf numFmtId="0" fontId="43" fillId="6" borderId="43" xfId="97" applyFont="1" applyFill="1" applyBorder="1" applyAlignment="1" applyProtection="1">
      <alignment vertical="center"/>
      <protection locked="0"/>
    </xf>
    <xf numFmtId="0" fontId="4" fillId="0" borderId="5" xfId="95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0" borderId="5" xfId="95" applyFont="1" applyBorder="1" applyAlignment="1" applyProtection="1">
      <alignment horizontal="center" vertical="center"/>
      <protection locked="0"/>
    </xf>
    <xf numFmtId="0" fontId="72" fillId="8" borderId="5" xfId="0" applyFont="1" applyFill="1" applyBorder="1" applyAlignment="1" applyProtection="1">
      <alignment horizontal="center" vertical="center"/>
      <protection locked="0"/>
    </xf>
    <xf numFmtId="0" fontId="72" fillId="0" borderId="5" xfId="0" applyFont="1" applyBorder="1" applyAlignment="1" applyProtection="1">
      <alignment horizontal="center" vertical="center"/>
      <protection locked="0"/>
    </xf>
    <xf numFmtId="0" fontId="2" fillId="0" borderId="5" xfId="95" applyFont="1" applyBorder="1" applyAlignment="1" applyProtection="1">
      <alignment horizontal="center" vertical="center"/>
      <protection locked="0"/>
    </xf>
    <xf numFmtId="0" fontId="41" fillId="0" borderId="0" xfId="97" applyFont="1" applyProtection="1">
      <protection locked="0"/>
    </xf>
    <xf numFmtId="14" fontId="1" fillId="4" borderId="0" xfId="99" applyNumberFormat="1" applyFont="1" applyFill="1" applyProtection="1">
      <protection locked="0"/>
    </xf>
    <xf numFmtId="182" fontId="35" fillId="4" borderId="1" xfId="101" applyNumberFormat="1" applyFont="1" applyFill="1" applyBorder="1" applyAlignment="1" applyProtection="1">
      <alignment horizontal="center" vertical="center" wrapText="1"/>
    </xf>
    <xf numFmtId="182" fontId="35" fillId="4" borderId="47" xfId="101" applyNumberFormat="1" applyFont="1" applyFill="1" applyBorder="1" applyAlignment="1" applyProtection="1">
      <alignment horizontal="center" vertical="center" wrapText="1"/>
    </xf>
    <xf numFmtId="182" fontId="35" fillId="4" borderId="4" xfId="101" applyNumberFormat="1" applyFont="1" applyFill="1" applyBorder="1" applyAlignment="1" applyProtection="1">
      <alignment horizontal="center" vertical="center" wrapText="1"/>
    </xf>
    <xf numFmtId="166" fontId="35" fillId="4" borderId="5" xfId="15" applyNumberFormat="1" applyFont="1" applyFill="1" applyBorder="1" applyAlignment="1" applyProtection="1">
      <alignment horizontal="center" vertical="center" wrapText="1"/>
    </xf>
    <xf numFmtId="0" fontId="61" fillId="4" borderId="21" xfId="100" applyFont="1" applyFill="1" applyBorder="1" applyAlignment="1">
      <alignment horizontal="center" vertical="center"/>
    </xf>
    <xf numFmtId="0" fontId="61" fillId="4" borderId="22" xfId="100" applyFont="1" applyFill="1" applyBorder="1" applyAlignment="1">
      <alignment horizontal="center" vertical="center"/>
    </xf>
    <xf numFmtId="0" fontId="61" fillId="4" borderId="23" xfId="100" applyFont="1" applyFill="1" applyBorder="1" applyAlignment="1">
      <alignment horizontal="center" vertical="center"/>
    </xf>
    <xf numFmtId="0" fontId="42" fillId="15" borderId="16" xfId="99" applyFont="1" applyFill="1" applyBorder="1" applyAlignment="1">
      <alignment horizontal="center"/>
    </xf>
    <xf numFmtId="166" fontId="35" fillId="4" borderId="1" xfId="15" applyNumberFormat="1" applyFont="1" applyFill="1" applyBorder="1" applyAlignment="1" applyProtection="1">
      <alignment horizontal="center" vertical="center" wrapText="1"/>
    </xf>
    <xf numFmtId="166" fontId="35" fillId="4" borderId="47" xfId="15" applyNumberFormat="1" applyFont="1" applyFill="1" applyBorder="1" applyAlignment="1" applyProtection="1">
      <alignment horizontal="center" vertical="center" wrapText="1"/>
    </xf>
    <xf numFmtId="166" fontId="35" fillId="4" borderId="4" xfId="15" applyNumberFormat="1" applyFont="1" applyFill="1" applyBorder="1" applyAlignment="1" applyProtection="1">
      <alignment horizontal="center" vertical="center" wrapText="1"/>
    </xf>
    <xf numFmtId="166" fontId="65" fillId="4" borderId="6" xfId="15" applyNumberFormat="1" applyFont="1" applyFill="1" applyBorder="1" applyAlignment="1" applyProtection="1">
      <alignment horizontal="center" vertical="center" wrapText="1"/>
    </xf>
    <xf numFmtId="166" fontId="65" fillId="4" borderId="18" xfId="15" applyNumberFormat="1" applyFont="1" applyFill="1" applyBorder="1" applyAlignment="1" applyProtection="1">
      <alignment horizontal="center" vertical="center" wrapText="1"/>
    </xf>
    <xf numFmtId="0" fontId="69" fillId="0" borderId="30" xfId="99" applyFont="1" applyBorder="1" applyAlignment="1">
      <alignment horizontal="center"/>
    </xf>
    <xf numFmtId="0" fontId="66" fillId="14" borderId="21" xfId="0" applyFont="1" applyFill="1" applyBorder="1" applyAlignment="1">
      <alignment horizontal="center" vertical="center"/>
    </xf>
    <xf numFmtId="0" fontId="66" fillId="14" borderId="22" xfId="0" applyFont="1" applyFill="1" applyBorder="1" applyAlignment="1">
      <alignment horizontal="center" vertical="center"/>
    </xf>
    <xf numFmtId="0" fontId="66" fillId="14" borderId="23" xfId="0" applyFont="1" applyFill="1" applyBorder="1" applyAlignment="1">
      <alignment horizontal="center" vertical="center"/>
    </xf>
    <xf numFmtId="0" fontId="54" fillId="14" borderId="4" xfId="0" applyFont="1" applyFill="1" applyBorder="1" applyAlignment="1">
      <alignment horizontal="center" vertical="center"/>
    </xf>
    <xf numFmtId="0" fontId="54" fillId="7" borderId="3" xfId="0" applyFont="1" applyFill="1" applyBorder="1" applyAlignment="1">
      <alignment horizontal="center" vertical="center"/>
    </xf>
    <xf numFmtId="0" fontId="54" fillId="7" borderId="41" xfId="0" applyFont="1" applyFill="1" applyBorder="1" applyAlignment="1">
      <alignment horizontal="center" vertical="center"/>
    </xf>
    <xf numFmtId="0" fontId="54" fillId="13" borderId="3" xfId="0" applyFont="1" applyFill="1" applyBorder="1" applyAlignment="1">
      <alignment horizontal="center" vertical="center"/>
    </xf>
    <xf numFmtId="0" fontId="54" fillId="13" borderId="41" xfId="0" applyFont="1" applyFill="1" applyBorder="1" applyAlignment="1">
      <alignment horizontal="center" vertical="center"/>
    </xf>
    <xf numFmtId="0" fontId="54" fillId="13" borderId="4" xfId="0" applyFont="1" applyFill="1" applyBorder="1" applyAlignment="1">
      <alignment horizontal="center" vertical="center"/>
    </xf>
    <xf numFmtId="0" fontId="54" fillId="7" borderId="4" xfId="0" applyFont="1" applyFill="1" applyBorder="1" applyAlignment="1">
      <alignment horizontal="center" vertical="center"/>
    </xf>
    <xf numFmtId="0" fontId="68" fillId="14" borderId="21" xfId="0" applyFont="1" applyFill="1" applyBorder="1" applyAlignment="1">
      <alignment horizontal="center" vertical="center"/>
    </xf>
    <xf numFmtId="0" fontId="68" fillId="14" borderId="22" xfId="0" applyFont="1" applyFill="1" applyBorder="1" applyAlignment="1">
      <alignment horizontal="center" vertical="center"/>
    </xf>
    <xf numFmtId="0" fontId="68" fillId="14" borderId="23" xfId="0" applyFont="1" applyFill="1" applyBorder="1" applyAlignment="1">
      <alignment horizontal="center" vertical="center"/>
    </xf>
    <xf numFmtId="0" fontId="66" fillId="14" borderId="7" xfId="0" applyFont="1" applyFill="1" applyBorder="1" applyAlignment="1">
      <alignment horizontal="center" vertical="center"/>
    </xf>
    <xf numFmtId="0" fontId="66" fillId="14" borderId="20" xfId="0" applyFont="1" applyFill="1" applyBorder="1" applyAlignment="1">
      <alignment horizontal="center" vertical="center"/>
    </xf>
    <xf numFmtId="0" fontId="66" fillId="14" borderId="8" xfId="0" applyFont="1" applyFill="1" applyBorder="1" applyAlignment="1">
      <alignment horizontal="center" vertical="center"/>
    </xf>
    <xf numFmtId="0" fontId="35" fillId="4" borderId="6" xfId="100" applyFont="1" applyFill="1" applyBorder="1" applyAlignment="1">
      <alignment horizontal="center"/>
    </xf>
    <xf numFmtId="0" fontId="35" fillId="4" borderId="18" xfId="100" applyFont="1" applyFill="1" applyBorder="1" applyAlignment="1">
      <alignment horizontal="center"/>
    </xf>
    <xf numFmtId="0" fontId="35" fillId="4" borderId="2" xfId="100" applyFont="1" applyFill="1" applyBorder="1" applyAlignment="1">
      <alignment horizontal="center"/>
    </xf>
    <xf numFmtId="0" fontId="61" fillId="4" borderId="21" xfId="100" applyFont="1" applyFill="1" applyBorder="1" applyAlignment="1">
      <alignment horizontal="left" vertical="center"/>
    </xf>
    <xf numFmtId="0" fontId="61" fillId="4" borderId="22" xfId="100" applyFont="1" applyFill="1" applyBorder="1" applyAlignment="1">
      <alignment horizontal="left" vertical="center"/>
    </xf>
    <xf numFmtId="0" fontId="61" fillId="4" borderId="23" xfId="100" applyFont="1" applyFill="1" applyBorder="1" applyAlignment="1">
      <alignment horizontal="left" vertical="center"/>
    </xf>
    <xf numFmtId="0" fontId="58" fillId="0" borderId="0" xfId="100" applyFont="1" applyAlignment="1">
      <alignment horizontal="center" vertical="center" wrapText="1"/>
    </xf>
    <xf numFmtId="0" fontId="58" fillId="4" borderId="21" xfId="100" applyFont="1" applyFill="1" applyBorder="1" applyAlignment="1">
      <alignment horizontal="center" vertical="center"/>
    </xf>
    <xf numFmtId="0" fontId="58" fillId="4" borderId="22" xfId="100" applyFont="1" applyFill="1" applyBorder="1" applyAlignment="1">
      <alignment horizontal="center" vertical="center"/>
    </xf>
    <xf numFmtId="0" fontId="58" fillId="4" borderId="23" xfId="100" applyFont="1" applyFill="1" applyBorder="1" applyAlignment="1">
      <alignment horizontal="center" vertical="center"/>
    </xf>
    <xf numFmtId="171" fontId="61" fillId="4" borderId="7" xfId="45" applyNumberFormat="1" applyFont="1" applyFill="1" applyBorder="1" applyAlignment="1" applyProtection="1">
      <alignment horizontal="center" vertical="center"/>
    </xf>
    <xf numFmtId="171" fontId="61" fillId="4" borderId="20" xfId="45" applyNumberFormat="1" applyFont="1" applyFill="1" applyBorder="1" applyAlignment="1" applyProtection="1">
      <alignment horizontal="center" vertical="center"/>
    </xf>
    <xf numFmtId="171" fontId="61" fillId="4" borderId="8" xfId="45" applyNumberFormat="1" applyFont="1" applyFill="1" applyBorder="1" applyAlignment="1" applyProtection="1">
      <alignment horizontal="center" vertical="center"/>
    </xf>
    <xf numFmtId="0" fontId="57" fillId="4" borderId="24" xfId="100" applyFont="1" applyFill="1" applyBorder="1" applyAlignment="1">
      <alignment horizontal="center" vertical="center" wrapText="1"/>
    </xf>
    <xf numFmtId="0" fontId="57" fillId="4" borderId="9" xfId="100" applyFont="1" applyFill="1" applyBorder="1" applyAlignment="1">
      <alignment horizontal="center" vertical="center" wrapText="1"/>
    </xf>
    <xf numFmtId="0" fontId="57" fillId="4" borderId="25" xfId="100" applyFont="1" applyFill="1" applyBorder="1" applyAlignment="1">
      <alignment horizontal="center" vertical="center" wrapText="1"/>
    </xf>
    <xf numFmtId="0" fontId="57" fillId="4" borderId="4" xfId="100" applyFont="1" applyFill="1" applyBorder="1" applyAlignment="1">
      <alignment horizontal="center" vertical="center" wrapText="1"/>
    </xf>
    <xf numFmtId="0" fontId="58" fillId="4" borderId="40" xfId="100" applyFont="1" applyFill="1" applyBorder="1" applyAlignment="1">
      <alignment horizontal="center" vertical="center" wrapText="1"/>
    </xf>
    <xf numFmtId="0" fontId="58" fillId="4" borderId="38" xfId="100" applyFont="1" applyFill="1" applyBorder="1" applyAlignment="1">
      <alignment horizontal="center" vertical="center" wrapText="1"/>
    </xf>
    <xf numFmtId="0" fontId="71" fillId="19" borderId="40" xfId="102" applyFont="1" applyFill="1" applyBorder="1" applyAlignment="1">
      <alignment horizontal="center" vertical="center" wrapText="1"/>
    </xf>
    <xf numFmtId="0" fontId="71" fillId="19" borderId="48" xfId="102" applyFont="1" applyFill="1" applyBorder="1" applyAlignment="1">
      <alignment horizontal="center" vertical="center" wrapText="1"/>
    </xf>
    <xf numFmtId="0" fontId="59" fillId="4" borderId="21" xfId="100" applyFont="1" applyFill="1" applyBorder="1" applyAlignment="1">
      <alignment horizontal="left" vertical="center"/>
    </xf>
    <xf numFmtId="0" fontId="59" fillId="4" borderId="22" xfId="100" applyFont="1" applyFill="1" applyBorder="1" applyAlignment="1">
      <alignment horizontal="left" vertical="center"/>
    </xf>
    <xf numFmtId="0" fontId="23" fillId="0" borderId="0" xfId="100" applyFont="1" applyAlignment="1">
      <alignment horizontal="center"/>
    </xf>
    <xf numFmtId="0" fontId="57" fillId="0" borderId="0" xfId="100" applyFont="1" applyAlignment="1">
      <alignment horizontal="center" vertical="center"/>
    </xf>
    <xf numFmtId="0" fontId="38" fillId="0" borderId="0" xfId="100" applyFont="1" applyAlignment="1">
      <alignment horizontal="left"/>
    </xf>
    <xf numFmtId="171" fontId="50" fillId="0" borderId="21" xfId="45" applyNumberFormat="1" applyFont="1" applyBorder="1" applyAlignment="1" applyProtection="1">
      <alignment horizontal="center" vertical="center"/>
    </xf>
    <xf numFmtId="171" fontId="50" fillId="0" borderId="22" xfId="45" applyNumberFormat="1" applyFont="1" applyBorder="1" applyAlignment="1" applyProtection="1">
      <alignment horizontal="center" vertical="center"/>
    </xf>
    <xf numFmtId="171" fontId="50" fillId="0" borderId="23" xfId="45" applyNumberFormat="1" applyFont="1" applyBorder="1" applyAlignment="1" applyProtection="1">
      <alignment horizontal="center" vertical="center"/>
    </xf>
    <xf numFmtId="0" fontId="37" fillId="0" borderId="0" xfId="100" applyFont="1" applyAlignment="1">
      <alignment horizontal="center"/>
    </xf>
    <xf numFmtId="0" fontId="37" fillId="0" borderId="29" xfId="100" applyFont="1" applyBorder="1" applyAlignment="1">
      <alignment horizontal="center"/>
    </xf>
    <xf numFmtId="0" fontId="37" fillId="0" borderId="30" xfId="100" applyFont="1" applyBorder="1" applyAlignment="1">
      <alignment horizontal="center"/>
    </xf>
    <xf numFmtId="0" fontId="37" fillId="0" borderId="32" xfId="100" applyFont="1" applyBorder="1" applyAlignment="1">
      <alignment horizontal="center"/>
    </xf>
    <xf numFmtId="0" fontId="37" fillId="0" borderId="19" xfId="100" applyFont="1" applyBorder="1" applyAlignment="1">
      <alignment horizontal="center"/>
    </xf>
    <xf numFmtId="0" fontId="37" fillId="0" borderId="28" xfId="100" applyFont="1" applyBorder="1" applyAlignment="1">
      <alignment horizontal="center"/>
    </xf>
    <xf numFmtId="0" fontId="37" fillId="0" borderId="31" xfId="100" applyFont="1" applyBorder="1" applyAlignment="1">
      <alignment horizontal="center"/>
    </xf>
    <xf numFmtId="0" fontId="37" fillId="0" borderId="33" xfId="100" applyFont="1" applyBorder="1" applyAlignment="1">
      <alignment horizontal="center"/>
    </xf>
    <xf numFmtId="0" fontId="50" fillId="4" borderId="21" xfId="100" applyFont="1" applyFill="1" applyBorder="1" applyAlignment="1">
      <alignment horizontal="center" vertical="center"/>
    </xf>
    <xf numFmtId="0" fontId="50" fillId="4" borderId="22" xfId="100" applyFont="1" applyFill="1" applyBorder="1" applyAlignment="1">
      <alignment horizontal="center" vertical="center"/>
    </xf>
    <xf numFmtId="0" fontId="50" fillId="4" borderId="23" xfId="100" applyFont="1" applyFill="1" applyBorder="1" applyAlignment="1">
      <alignment horizontal="center" vertical="center"/>
    </xf>
    <xf numFmtId="0" fontId="37" fillId="0" borderId="33" xfId="100" applyFont="1" applyBorder="1" applyAlignment="1">
      <alignment horizontal="center" vertical="center"/>
    </xf>
    <xf numFmtId="0" fontId="37" fillId="0" borderId="36" xfId="100" applyFont="1" applyBorder="1" applyAlignment="1">
      <alignment horizontal="center"/>
    </xf>
    <xf numFmtId="0" fontId="50" fillId="4" borderId="34" xfId="100" applyFont="1" applyFill="1" applyBorder="1" applyAlignment="1">
      <alignment horizontal="center"/>
    </xf>
    <xf numFmtId="0" fontId="50" fillId="4" borderId="35" xfId="100" applyFont="1" applyFill="1" applyBorder="1" applyAlignment="1">
      <alignment horizontal="center"/>
    </xf>
    <xf numFmtId="2" fontId="0" fillId="0" borderId="5" xfId="0" applyNumberFormat="1" applyBorder="1" applyAlignment="1" applyProtection="1">
      <alignment horizontal="center" vertical="center"/>
      <protection locked="0"/>
    </xf>
    <xf numFmtId="0" fontId="45" fillId="6" borderId="6" xfId="0" applyFont="1" applyFill="1" applyBorder="1" applyAlignment="1">
      <alignment horizontal="center" vertical="center"/>
    </xf>
    <xf numFmtId="0" fontId="45" fillId="6" borderId="18" xfId="0" applyFont="1" applyFill="1" applyBorder="1" applyAlignment="1">
      <alignment horizontal="center" vertical="center"/>
    </xf>
    <xf numFmtId="0" fontId="45" fillId="6" borderId="2" xfId="0" applyFont="1" applyFill="1" applyBorder="1" applyAlignment="1">
      <alignment horizontal="center" vertical="center"/>
    </xf>
    <xf numFmtId="2" fontId="0" fillId="0" borderId="6" xfId="0" applyNumberFormat="1" applyBorder="1" applyAlignment="1" applyProtection="1">
      <alignment horizontal="center" vertical="center"/>
      <protection locked="0"/>
    </xf>
    <xf numFmtId="2" fontId="0" fillId="0" borderId="18" xfId="0" applyNumberFormat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 applyProtection="1">
      <alignment horizontal="center" vertical="center"/>
      <protection locked="0"/>
    </xf>
    <xf numFmtId="165" fontId="0" fillId="0" borderId="6" xfId="1" applyFont="1" applyBorder="1" applyAlignment="1" applyProtection="1">
      <alignment horizontal="center"/>
    </xf>
    <xf numFmtId="165" fontId="0" fillId="0" borderId="18" xfId="1" applyFont="1" applyBorder="1" applyAlignment="1" applyProtection="1">
      <alignment horizontal="center"/>
    </xf>
    <xf numFmtId="165" fontId="0" fillId="0" borderId="2" xfId="1" applyFont="1" applyBorder="1" applyAlignment="1" applyProtection="1">
      <alignment horizontal="center"/>
    </xf>
    <xf numFmtId="0" fontId="43" fillId="9" borderId="0" xfId="0" applyFont="1" applyFill="1" applyAlignment="1">
      <alignment horizontal="center"/>
    </xf>
    <xf numFmtId="0" fontId="43" fillId="9" borderId="37" xfId="0" applyFont="1" applyFill="1" applyBorder="1" applyAlignment="1">
      <alignment horizontal="center"/>
    </xf>
    <xf numFmtId="0" fontId="44" fillId="0" borderId="0" xfId="0" applyFont="1" applyAlignment="1">
      <alignment horizontal="right"/>
    </xf>
    <xf numFmtId="178" fontId="44" fillId="0" borderId="0" xfId="0" applyNumberFormat="1" applyFont="1" applyAlignment="1">
      <alignment horizontal="left"/>
    </xf>
    <xf numFmtId="14" fontId="47" fillId="10" borderId="5" xfId="0" applyNumberFormat="1" applyFont="1" applyFill="1" applyBorder="1" applyAlignment="1">
      <alignment horizontal="center" vertical="center"/>
    </xf>
    <xf numFmtId="0" fontId="47" fillId="10" borderId="5" xfId="0" applyFont="1" applyFill="1" applyBorder="1" applyAlignment="1">
      <alignment horizontal="center" vertical="center"/>
    </xf>
    <xf numFmtId="16" fontId="45" fillId="6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2" fillId="7" borderId="5" xfId="0" applyFont="1" applyFill="1" applyBorder="1" applyAlignment="1" applyProtection="1">
      <alignment horizontal="center" vertical="center"/>
      <protection locked="0"/>
    </xf>
    <xf numFmtId="0" fontId="42" fillId="7" borderId="6" xfId="0" applyFont="1" applyFill="1" applyBorder="1" applyAlignment="1" applyProtection="1">
      <alignment horizontal="center" vertical="center"/>
      <protection locked="0"/>
    </xf>
    <xf numFmtId="0" fontId="42" fillId="7" borderId="18" xfId="0" applyFont="1" applyFill="1" applyBorder="1" applyAlignment="1" applyProtection="1">
      <alignment horizontal="center" vertical="center"/>
      <protection locked="0"/>
    </xf>
    <xf numFmtId="0" fontId="42" fillId="7" borderId="2" xfId="0" applyFont="1" applyFill="1" applyBorder="1" applyAlignment="1" applyProtection="1">
      <alignment horizontal="center" vertical="center"/>
      <protection locked="0"/>
    </xf>
    <xf numFmtId="43" fontId="0" fillId="0" borderId="5" xfId="0" applyNumberFormat="1" applyBorder="1" applyAlignment="1">
      <alignment horizontal="center"/>
    </xf>
    <xf numFmtId="178" fontId="44" fillId="0" borderId="18" xfId="0" applyNumberFormat="1" applyFont="1" applyBorder="1" applyAlignment="1">
      <alignment horizontal="left"/>
    </xf>
    <xf numFmtId="0" fontId="56" fillId="11" borderId="6" xfId="0" applyFont="1" applyFill="1" applyBorder="1" applyAlignment="1">
      <alignment horizontal="center"/>
    </xf>
    <xf numFmtId="0" fontId="56" fillId="11" borderId="18" xfId="0" applyFont="1" applyFill="1" applyBorder="1" applyAlignment="1">
      <alignment horizontal="center"/>
    </xf>
    <xf numFmtId="0" fontId="56" fillId="11" borderId="2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16" fontId="45" fillId="6" borderId="2" xfId="0" applyNumberFormat="1" applyFont="1" applyFill="1" applyBorder="1" applyAlignment="1">
      <alignment horizontal="center" vertical="center"/>
    </xf>
    <xf numFmtId="0" fontId="0" fillId="0" borderId="4" xfId="0" applyBorder="1" applyAlignment="1" applyProtection="1">
      <alignment horizontal="center" vertical="center"/>
      <protection locked="0"/>
    </xf>
    <xf numFmtId="14" fontId="47" fillId="10" borderId="0" xfId="0" applyNumberFormat="1" applyFont="1" applyFill="1" applyAlignment="1">
      <alignment horizontal="center" vertical="center"/>
    </xf>
    <xf numFmtId="0" fontId="47" fillId="10" borderId="0" xfId="0" applyFont="1" applyFill="1" applyAlignment="1">
      <alignment horizontal="center" vertical="center"/>
    </xf>
    <xf numFmtId="0" fontId="44" fillId="0" borderId="6" xfId="0" applyFont="1" applyBorder="1" applyAlignment="1">
      <alignment horizontal="right"/>
    </xf>
    <xf numFmtId="0" fontId="44" fillId="0" borderId="18" xfId="0" applyFont="1" applyBorder="1" applyAlignment="1">
      <alignment horizontal="right"/>
    </xf>
    <xf numFmtId="43" fontId="41" fillId="0" borderId="0" xfId="97" applyNumberFormat="1" applyFont="1" applyAlignment="1">
      <alignment horizontal="center"/>
    </xf>
    <xf numFmtId="0" fontId="41" fillId="0" borderId="0" xfId="97" applyFont="1" applyAlignment="1">
      <alignment horizontal="center"/>
    </xf>
    <xf numFmtId="43" fontId="41" fillId="0" borderId="17" xfId="97" applyNumberFormat="1" applyFont="1" applyBorder="1" applyAlignment="1">
      <alignment horizontal="left" vertical="center"/>
    </xf>
    <xf numFmtId="43" fontId="41" fillId="0" borderId="22" xfId="97" applyNumberFormat="1" applyFont="1" applyBorder="1" applyAlignment="1">
      <alignment horizontal="left" vertical="center"/>
    </xf>
    <xf numFmtId="43" fontId="41" fillId="0" borderId="27" xfId="97" applyNumberFormat="1" applyFont="1" applyBorder="1" applyAlignment="1">
      <alignment horizontal="left" vertical="center"/>
    </xf>
    <xf numFmtId="164" fontId="41" fillId="0" borderId="17" xfId="97" applyNumberFormat="1" applyFont="1" applyBorder="1" applyAlignment="1">
      <alignment horizontal="left"/>
    </xf>
    <xf numFmtId="164" fontId="41" fillId="0" borderId="22" xfId="97" applyNumberFormat="1" applyFont="1" applyBorder="1" applyAlignment="1">
      <alignment horizontal="left"/>
    </xf>
    <xf numFmtId="164" fontId="41" fillId="0" borderId="23" xfId="97" applyNumberFormat="1" applyFont="1" applyBorder="1" applyAlignment="1">
      <alignment horizontal="left"/>
    </xf>
    <xf numFmtId="0" fontId="46" fillId="6" borderId="51" xfId="97" applyFont="1" applyFill="1" applyBorder="1" applyAlignment="1">
      <alignment horizontal="center"/>
    </xf>
    <xf numFmtId="0" fontId="46" fillId="6" borderId="16" xfId="97" applyFont="1" applyFill="1" applyBorder="1" applyAlignment="1">
      <alignment horizontal="center"/>
    </xf>
    <xf numFmtId="0" fontId="46" fillId="6" borderId="52" xfId="97" applyFont="1" applyFill="1" applyBorder="1" applyAlignment="1">
      <alignment horizontal="center"/>
    </xf>
    <xf numFmtId="164" fontId="46" fillId="6" borderId="25" xfId="97" applyNumberFormat="1" applyFont="1" applyFill="1" applyBorder="1" applyAlignment="1">
      <alignment horizontal="left"/>
    </xf>
    <xf numFmtId="0" fontId="46" fillId="6" borderId="25" xfId="97" applyFont="1" applyFill="1" applyBorder="1" applyAlignment="1">
      <alignment horizontal="left"/>
    </xf>
    <xf numFmtId="0" fontId="46" fillId="6" borderId="53" xfId="97" applyFont="1" applyFill="1" applyBorder="1" applyAlignment="1">
      <alignment horizontal="left"/>
    </xf>
    <xf numFmtId="43" fontId="41" fillId="0" borderId="6" xfId="97" applyNumberFormat="1" applyFont="1" applyBorder="1" applyAlignment="1">
      <alignment horizontal="center"/>
    </xf>
    <xf numFmtId="43" fontId="41" fillId="0" borderId="18" xfId="97" applyNumberFormat="1" applyFont="1" applyBorder="1" applyAlignment="1">
      <alignment horizontal="center"/>
    </xf>
    <xf numFmtId="43" fontId="41" fillId="0" borderId="2" xfId="97" applyNumberFormat="1" applyFont="1" applyBorder="1" applyAlignment="1">
      <alignment horizontal="center"/>
    </xf>
    <xf numFmtId="0" fontId="46" fillId="6" borderId="20" xfId="97" applyFont="1" applyFill="1" applyBorder="1" applyAlignment="1">
      <alignment horizontal="center"/>
    </xf>
    <xf numFmtId="0" fontId="46" fillId="6" borderId="8" xfId="97" applyFont="1" applyFill="1" applyBorder="1" applyAlignment="1">
      <alignment horizontal="center"/>
    </xf>
    <xf numFmtId="178" fontId="44" fillId="0" borderId="0" xfId="0" applyNumberFormat="1" applyFont="1" applyAlignment="1">
      <alignment horizontal="center"/>
    </xf>
    <xf numFmtId="43" fontId="41" fillId="0" borderId="17" xfId="97" applyNumberFormat="1" applyFont="1" applyBorder="1" applyAlignment="1">
      <alignment horizontal="center" vertical="center"/>
    </xf>
    <xf numFmtId="43" fontId="41" fillId="0" borderId="22" xfId="97" applyNumberFormat="1" applyFont="1" applyBorder="1" applyAlignment="1">
      <alignment horizontal="center" vertical="center"/>
    </xf>
    <xf numFmtId="43" fontId="41" fillId="0" borderId="27" xfId="97" applyNumberFormat="1" applyFont="1" applyBorder="1" applyAlignment="1">
      <alignment horizontal="center" vertical="center"/>
    </xf>
    <xf numFmtId="0" fontId="46" fillId="6" borderId="20" xfId="97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63" fillId="2" borderId="3" xfId="0" applyFont="1" applyFill="1" applyBorder="1" applyAlignment="1">
      <alignment horizontal="center" vertical="center"/>
    </xf>
    <xf numFmtId="0" fontId="63" fillId="2" borderId="4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</cellXfs>
  <cellStyles count="103">
    <cellStyle name="Comma" xfId="1" builtinId="3"/>
    <cellStyle name="Comma 10" xfId="94" xr:uid="{00000000-0005-0000-0000-000001000000}"/>
    <cellStyle name="Comma 10 2" xfId="96" xr:uid="{00000000-0005-0000-0000-000002000000}"/>
    <cellStyle name="Comma 11" xfId="98" xr:uid="{00000000-0005-0000-0000-000003000000}"/>
    <cellStyle name="Comma 12" xfId="101" xr:uid="{00000000-0005-0000-0000-000004000000}"/>
    <cellStyle name="Comma 2" xfId="5" xr:uid="{00000000-0005-0000-0000-000005000000}"/>
    <cellStyle name="Comma 2 2" xfId="16" xr:uid="{00000000-0005-0000-0000-000006000000}"/>
    <cellStyle name="Comma 2 3" xfId="15" xr:uid="{00000000-0005-0000-0000-000007000000}"/>
    <cellStyle name="Comma 2 4" xfId="41" xr:uid="{00000000-0005-0000-0000-000008000000}"/>
    <cellStyle name="Comma 3" xfId="10" xr:uid="{00000000-0005-0000-0000-000009000000}"/>
    <cellStyle name="Comma 3 2" xfId="37" xr:uid="{00000000-0005-0000-0000-00000A000000}"/>
    <cellStyle name="Comma 3 2 2" xfId="48" xr:uid="{00000000-0005-0000-0000-00000B000000}"/>
    <cellStyle name="Comma 3 2 2 2" xfId="60" xr:uid="{00000000-0005-0000-0000-00000C000000}"/>
    <cellStyle name="Comma 3 2 2 3" xfId="75" xr:uid="{00000000-0005-0000-0000-00000D000000}"/>
    <cellStyle name="Comma 3 2 2 4" xfId="87" xr:uid="{00000000-0005-0000-0000-00000E000000}"/>
    <cellStyle name="Comma 3 2 3" xfId="54" xr:uid="{00000000-0005-0000-0000-00000F000000}"/>
    <cellStyle name="Comma 3 2 4" xfId="69" xr:uid="{00000000-0005-0000-0000-000010000000}"/>
    <cellStyle name="Comma 3 2 5" xfId="81" xr:uid="{00000000-0005-0000-0000-000011000000}"/>
    <cellStyle name="Comma 3 3" xfId="45" xr:uid="{00000000-0005-0000-0000-000012000000}"/>
    <cellStyle name="Comma 3 4" xfId="50" xr:uid="{00000000-0005-0000-0000-000013000000}"/>
    <cellStyle name="Comma 3 5" xfId="65" xr:uid="{00000000-0005-0000-0000-000014000000}"/>
    <cellStyle name="Comma 3 6" xfId="77" xr:uid="{00000000-0005-0000-0000-000015000000}"/>
    <cellStyle name="Comma 4" xfId="12" xr:uid="{00000000-0005-0000-0000-000016000000}"/>
    <cellStyle name="Comma 4 2" xfId="46" xr:uid="{00000000-0005-0000-0000-000017000000}"/>
    <cellStyle name="Comma 4 2 2" xfId="58" xr:uid="{00000000-0005-0000-0000-000018000000}"/>
    <cellStyle name="Comma 4 2 3" xfId="73" xr:uid="{00000000-0005-0000-0000-000019000000}"/>
    <cellStyle name="Comma 4 2 4" xfId="85" xr:uid="{00000000-0005-0000-0000-00001A000000}"/>
    <cellStyle name="Comma 4 3" xfId="52" xr:uid="{00000000-0005-0000-0000-00001B000000}"/>
    <cellStyle name="Comma 4 4" xfId="67" xr:uid="{00000000-0005-0000-0000-00001C000000}"/>
    <cellStyle name="Comma 4 5" xfId="79" xr:uid="{00000000-0005-0000-0000-00001D000000}"/>
    <cellStyle name="Comma 5" xfId="47" xr:uid="{00000000-0005-0000-0000-00001E000000}"/>
    <cellStyle name="Comma 5 2" xfId="59" xr:uid="{00000000-0005-0000-0000-00001F000000}"/>
    <cellStyle name="Comma 5 3" xfId="74" xr:uid="{00000000-0005-0000-0000-000020000000}"/>
    <cellStyle name="Comma 5 4" xfId="86" xr:uid="{00000000-0005-0000-0000-000021000000}"/>
    <cellStyle name="Comma 6" xfId="40" xr:uid="{00000000-0005-0000-0000-000022000000}"/>
    <cellStyle name="Comma 6 2" xfId="56" xr:uid="{00000000-0005-0000-0000-000023000000}"/>
    <cellStyle name="Comma 6 3" xfId="71" xr:uid="{00000000-0005-0000-0000-000024000000}"/>
    <cellStyle name="Comma 6 4" xfId="83" xr:uid="{00000000-0005-0000-0000-000025000000}"/>
    <cellStyle name="Comma 7" xfId="62" xr:uid="{00000000-0005-0000-0000-000026000000}"/>
    <cellStyle name="Comma 8" xfId="89" xr:uid="{00000000-0005-0000-0000-000027000000}"/>
    <cellStyle name="Comma 9" xfId="92" xr:uid="{00000000-0005-0000-0000-000028000000}"/>
    <cellStyle name="ConditionalStyle_1" xfId="17" xr:uid="{00000000-0005-0000-0000-000029000000}"/>
    <cellStyle name="Currency 2" xfId="38" xr:uid="{00000000-0005-0000-0000-00002A000000}"/>
    <cellStyle name="Currency 3" xfId="43" xr:uid="{00000000-0005-0000-0000-00002B000000}"/>
    <cellStyle name="Currency 3 2" xfId="57" xr:uid="{00000000-0005-0000-0000-00002C000000}"/>
    <cellStyle name="Currency 3 3" xfId="72" xr:uid="{00000000-0005-0000-0000-00002D000000}"/>
    <cellStyle name="Currency 3 4" xfId="84" xr:uid="{00000000-0005-0000-0000-00002E000000}"/>
    <cellStyle name="Excel Built-in Comma" xfId="3" xr:uid="{00000000-0005-0000-0000-00002F000000}"/>
    <cellStyle name="Excel Built-in Comma 2" xfId="18" xr:uid="{00000000-0005-0000-0000-000030000000}"/>
    <cellStyle name="Excel Built-in Comma 3" xfId="19" xr:uid="{00000000-0005-0000-0000-000031000000}"/>
    <cellStyle name="Excel Built-in Comma 4" xfId="13" xr:uid="{00000000-0005-0000-0000-000032000000}"/>
    <cellStyle name="Excel Built-in Explanatory Text" xfId="8" xr:uid="{00000000-0005-0000-0000-000033000000}"/>
    <cellStyle name="Excel Built-in Explanatory Text 2" xfId="20" xr:uid="{00000000-0005-0000-0000-000034000000}"/>
    <cellStyle name="Excel Built-in Explanatory Text 3" xfId="14" xr:uid="{00000000-0005-0000-0000-000035000000}"/>
    <cellStyle name="Explanatory Text" xfId="2" builtinId="53" customBuiltin="1"/>
    <cellStyle name="Explanatory Text 2" xfId="21" xr:uid="{00000000-0005-0000-0000-000037000000}"/>
    <cellStyle name="Heading" xfId="22" xr:uid="{00000000-0005-0000-0000-000038000000}"/>
    <cellStyle name="Heading1" xfId="23" xr:uid="{00000000-0005-0000-0000-000039000000}"/>
    <cellStyle name="Normal" xfId="0" builtinId="0"/>
    <cellStyle name="Normal 10" xfId="61" xr:uid="{00000000-0005-0000-0000-00003B000000}"/>
    <cellStyle name="Normal 11" xfId="63" xr:uid="{00000000-0005-0000-0000-00003C000000}"/>
    <cellStyle name="Normal 12" xfId="88" xr:uid="{00000000-0005-0000-0000-00003D000000}"/>
    <cellStyle name="Normal 13" xfId="90" xr:uid="{00000000-0005-0000-0000-00003E000000}"/>
    <cellStyle name="Normal 14" xfId="91" xr:uid="{00000000-0005-0000-0000-00003F000000}"/>
    <cellStyle name="Normal 14 2" xfId="102" xr:uid="{00000000-0005-0000-0000-000040000000}"/>
    <cellStyle name="Normal 15" xfId="93" xr:uid="{00000000-0005-0000-0000-000041000000}"/>
    <cellStyle name="Normal 15 2" xfId="95" xr:uid="{00000000-0005-0000-0000-000042000000}"/>
    <cellStyle name="Normal 16" xfId="97" xr:uid="{00000000-0005-0000-0000-000043000000}"/>
    <cellStyle name="Normal 17" xfId="99" xr:uid="{00000000-0005-0000-0000-000044000000}"/>
    <cellStyle name="Normal 2" xfId="6" xr:uid="{00000000-0005-0000-0000-000045000000}"/>
    <cellStyle name="Normal 2 2" xfId="25" xr:uid="{00000000-0005-0000-0000-000046000000}"/>
    <cellStyle name="Normal 2 3" xfId="24" xr:uid="{00000000-0005-0000-0000-000047000000}"/>
    <cellStyle name="Normal 2 4" xfId="100" xr:uid="{00000000-0005-0000-0000-000048000000}"/>
    <cellStyle name="Normal 3" xfId="7" xr:uid="{00000000-0005-0000-0000-000049000000}"/>
    <cellStyle name="Normal 3 2" xfId="27" xr:uid="{00000000-0005-0000-0000-00004A000000}"/>
    <cellStyle name="Normal 3 3" xfId="26" xr:uid="{00000000-0005-0000-0000-00004B000000}"/>
    <cellStyle name="Normal 4" xfId="4" xr:uid="{00000000-0005-0000-0000-00004C000000}"/>
    <cellStyle name="Normal 4 2" xfId="29" xr:uid="{00000000-0005-0000-0000-00004D000000}"/>
    <cellStyle name="Normal 4 3" xfId="30" xr:uid="{00000000-0005-0000-0000-00004E000000}"/>
    <cellStyle name="Normal 4 4" xfId="28" xr:uid="{00000000-0005-0000-0000-00004F000000}"/>
    <cellStyle name="Normal 4 5" xfId="44" xr:uid="{00000000-0005-0000-0000-000050000000}"/>
    <cellStyle name="Normal 5" xfId="9" xr:uid="{00000000-0005-0000-0000-000051000000}"/>
    <cellStyle name="Normal 5 2" xfId="31" xr:uid="{00000000-0005-0000-0000-000052000000}"/>
    <cellStyle name="Normal 5 3" xfId="36" xr:uid="{00000000-0005-0000-0000-000053000000}"/>
    <cellStyle name="Normal 5 3 2" xfId="53" xr:uid="{00000000-0005-0000-0000-000054000000}"/>
    <cellStyle name="Normal 5 3 3" xfId="68" xr:uid="{00000000-0005-0000-0000-000055000000}"/>
    <cellStyle name="Normal 5 3 4" xfId="80" xr:uid="{00000000-0005-0000-0000-000056000000}"/>
    <cellStyle name="Normal 5 4" xfId="49" xr:uid="{00000000-0005-0000-0000-000057000000}"/>
    <cellStyle name="Normal 5 5" xfId="64" xr:uid="{00000000-0005-0000-0000-000058000000}"/>
    <cellStyle name="Normal 5 6" xfId="76" xr:uid="{00000000-0005-0000-0000-000059000000}"/>
    <cellStyle name="Normal 6" xfId="32" xr:uid="{00000000-0005-0000-0000-00005A000000}"/>
    <cellStyle name="Normal 7" xfId="11" xr:uid="{00000000-0005-0000-0000-00005B000000}"/>
    <cellStyle name="Normal 7 2" xfId="51" xr:uid="{00000000-0005-0000-0000-00005C000000}"/>
    <cellStyle name="Normal 7 3" xfId="66" xr:uid="{00000000-0005-0000-0000-00005D000000}"/>
    <cellStyle name="Normal 7 4" xfId="78" xr:uid="{00000000-0005-0000-0000-00005E000000}"/>
    <cellStyle name="Normal 8" xfId="39" xr:uid="{00000000-0005-0000-0000-00005F000000}"/>
    <cellStyle name="Normal 8 2" xfId="55" xr:uid="{00000000-0005-0000-0000-000060000000}"/>
    <cellStyle name="Normal 8 3" xfId="70" xr:uid="{00000000-0005-0000-0000-000061000000}"/>
    <cellStyle name="Normal 8 4" xfId="82" xr:uid="{00000000-0005-0000-0000-000062000000}"/>
    <cellStyle name="Normal 9" xfId="42" xr:uid="{00000000-0005-0000-0000-000063000000}"/>
    <cellStyle name="Percent 2" xfId="33" xr:uid="{00000000-0005-0000-0000-000064000000}"/>
    <cellStyle name="Result" xfId="34" xr:uid="{00000000-0005-0000-0000-000065000000}"/>
    <cellStyle name="Result2" xfId="35" xr:uid="{00000000-0005-0000-0000-000066000000}"/>
  </cellStyles>
  <dxfs count="1329"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ill>
        <patternFill>
          <bgColor rgb="FFCCFFCC"/>
        </patternFill>
      </fill>
    </dxf>
    <dxf>
      <fill>
        <patternFill>
          <bgColor rgb="FFCCECFF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CCFFCC"/>
        </patternFill>
      </fill>
    </dxf>
    <dxf>
      <font>
        <color rgb="FFFF0000"/>
      </font>
    </dxf>
    <dxf>
      <fill>
        <patternFill>
          <bgColor rgb="FFCCEC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13" formatCode="0%"/>
      <fill>
        <patternFill>
          <bgColor rgb="FFFFFFFF"/>
        </patternFill>
      </fill>
    </dxf>
    <dxf>
      <font>
        <b val="0"/>
        <i val="0"/>
        <strike val="0"/>
        <outline val="0"/>
        <shadow val="0"/>
        <u val="none"/>
        <color rgb="FF000000"/>
        <name val="Calibri"/>
      </font>
      <numFmt numFmtId="0" formatCode="General"/>
      <fill>
        <patternFill>
          <bgColor rgb="FFFFFFFF"/>
        </patternFill>
      </fill>
      <border diagonalUp="0" diagonalDown="0"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E181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CCC1DA"/>
      <rgbColor rgb="FF7F7F7F"/>
      <rgbColor rgb="FF9999FF"/>
      <rgbColor rgb="FF993366"/>
      <rgbColor rgb="FFFFFBCC"/>
      <rgbColor rgb="FFBCE4E5"/>
      <rgbColor rgb="FF660066"/>
      <rgbColor rgb="FFFF8080"/>
      <rgbColor rgb="FF0066CC"/>
      <rgbColor rgb="FFDFCCE4"/>
      <rgbColor rgb="FF000080"/>
      <rgbColor rgb="FFFF00FF"/>
      <rgbColor rgb="FFFFF200"/>
      <rgbColor rgb="FF00FFFF"/>
      <rgbColor rgb="FF800080"/>
      <rgbColor rgb="FF800000"/>
      <rgbColor rgb="FF008080"/>
      <rgbColor rgb="FF0000FF"/>
      <rgbColor rgb="FF00CCFF"/>
      <rgbColor rgb="FFCCFFFF"/>
      <rgbColor rgb="FFE0EFD4"/>
      <rgbColor rgb="FFFFFF99"/>
      <rgbColor rgb="FF8CCFB7"/>
      <rgbColor rgb="FFFF99CC"/>
      <rgbColor rgb="FFCC99FF"/>
      <rgbColor rgb="FFC3D69B"/>
      <rgbColor rgb="FF3366FF"/>
      <rgbColor rgb="FF59C5C7"/>
      <rgbColor rgb="FF92D050"/>
      <rgbColor rgb="FFFFCC00"/>
      <rgbColor rgb="FFFF9900"/>
      <rgbColor rgb="FFFF6600"/>
      <rgbColor rgb="FF666699"/>
      <rgbColor rgb="FFADD58A"/>
      <rgbColor rgb="FF17375E"/>
      <rgbColor rgb="FF4BACC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gvfs02\Users\17185\AppData\Local\Microsoft\Windows\Temporary%20Internet%20Files\Content.Outlook\YEDF52K5\HK%20Attendance%20Sheet%20Aug'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endance"/>
      <sheetName val="Shift"/>
      <sheetName val="Validation"/>
      <sheetName val="Report"/>
      <sheetName val="HK Attendance Sheet Aug'2020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20.bin"/><Relationship Id="rId4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3.bin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5" Type="http://schemas.openxmlformats.org/officeDocument/2006/relationships/printerSettings" Target="../printerSettings/printerSettings25.bin"/><Relationship Id="rId4" Type="http://schemas.openxmlformats.org/officeDocument/2006/relationships/printerSettings" Target="../printerSettings/printerSettings2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8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7.bin"/><Relationship Id="rId1" Type="http://schemas.openxmlformats.org/officeDocument/2006/relationships/printerSettings" Target="../printerSettings/printerSettings26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30.bin"/><Relationship Id="rId4" Type="http://schemas.openxmlformats.org/officeDocument/2006/relationships/printerSettings" Target="../printerSettings/printerSettings29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3.bin"/><Relationship Id="rId2" Type="http://schemas.openxmlformats.org/officeDocument/2006/relationships/printerSettings" Target="../printerSettings/printerSettings32.bin"/><Relationship Id="rId1" Type="http://schemas.openxmlformats.org/officeDocument/2006/relationships/printerSettings" Target="../printerSettings/printerSettings31.bin"/><Relationship Id="rId5" Type="http://schemas.openxmlformats.org/officeDocument/2006/relationships/printerSettings" Target="../printerSettings/printerSettings35.bin"/><Relationship Id="rId4" Type="http://schemas.openxmlformats.org/officeDocument/2006/relationships/printerSettings" Target="../printerSettings/printerSettings3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8.bin"/><Relationship Id="rId2" Type="http://schemas.openxmlformats.org/officeDocument/2006/relationships/printerSettings" Target="../printerSettings/printerSettings37.bin"/><Relationship Id="rId1" Type="http://schemas.openxmlformats.org/officeDocument/2006/relationships/printerSettings" Target="../printerSettings/printerSettings36.bin"/><Relationship Id="rId5" Type="http://schemas.openxmlformats.org/officeDocument/2006/relationships/printerSettings" Target="../printerSettings/printerSettings40.bin"/><Relationship Id="rId4" Type="http://schemas.openxmlformats.org/officeDocument/2006/relationships/printerSettings" Target="../printerSettings/printerSettings3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3.bin"/><Relationship Id="rId7" Type="http://schemas.openxmlformats.org/officeDocument/2006/relationships/comments" Target="../comments2.xml"/><Relationship Id="rId2" Type="http://schemas.openxmlformats.org/officeDocument/2006/relationships/printerSettings" Target="../printerSettings/printerSettings42.bin"/><Relationship Id="rId1" Type="http://schemas.openxmlformats.org/officeDocument/2006/relationships/printerSettings" Target="../printerSettings/printerSettings41.bin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45.bin"/><Relationship Id="rId4" Type="http://schemas.openxmlformats.org/officeDocument/2006/relationships/printerSettings" Target="../printerSettings/printerSettings44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7.bin"/><Relationship Id="rId1" Type="http://schemas.openxmlformats.org/officeDocument/2006/relationships/printerSettings" Target="../printerSettings/printerSettings46.bin"/><Relationship Id="rId5" Type="http://schemas.openxmlformats.org/officeDocument/2006/relationships/printerSettings" Target="../printerSettings/printerSettings50.bin"/><Relationship Id="rId4" Type="http://schemas.openxmlformats.org/officeDocument/2006/relationships/printerSettings" Target="../printerSettings/printerSettings49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3.bin"/><Relationship Id="rId2" Type="http://schemas.openxmlformats.org/officeDocument/2006/relationships/printerSettings" Target="../printerSettings/printerSettings52.bin"/><Relationship Id="rId1" Type="http://schemas.openxmlformats.org/officeDocument/2006/relationships/printerSettings" Target="../printerSettings/printerSettings51.bin"/><Relationship Id="rId5" Type="http://schemas.openxmlformats.org/officeDocument/2006/relationships/printerSettings" Target="../printerSettings/printerSettings55.bin"/><Relationship Id="rId4" Type="http://schemas.openxmlformats.org/officeDocument/2006/relationships/printerSettings" Target="../printerSettings/printerSettings54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8.bin"/><Relationship Id="rId2" Type="http://schemas.openxmlformats.org/officeDocument/2006/relationships/printerSettings" Target="../printerSettings/printerSettings57.bin"/><Relationship Id="rId1" Type="http://schemas.openxmlformats.org/officeDocument/2006/relationships/printerSettings" Target="../printerSettings/printerSettings56.bin"/><Relationship Id="rId5" Type="http://schemas.openxmlformats.org/officeDocument/2006/relationships/printerSettings" Target="../printerSettings/printerSettings60.bin"/><Relationship Id="rId4" Type="http://schemas.openxmlformats.org/officeDocument/2006/relationships/printerSettings" Target="../printerSettings/printerSettings5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3.bin"/><Relationship Id="rId2" Type="http://schemas.openxmlformats.org/officeDocument/2006/relationships/printerSettings" Target="../printerSettings/printerSettings62.bin"/><Relationship Id="rId1" Type="http://schemas.openxmlformats.org/officeDocument/2006/relationships/printerSettings" Target="../printerSettings/printerSettings61.bin"/><Relationship Id="rId5" Type="http://schemas.openxmlformats.org/officeDocument/2006/relationships/printerSettings" Target="../printerSettings/printerSettings65.bin"/><Relationship Id="rId4" Type="http://schemas.openxmlformats.org/officeDocument/2006/relationships/printerSettings" Target="../printerSettings/printerSettings6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8.bin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67.bin"/><Relationship Id="rId1" Type="http://schemas.openxmlformats.org/officeDocument/2006/relationships/printerSettings" Target="../printerSettings/printerSettings66.bin"/><Relationship Id="rId6" Type="http://schemas.openxmlformats.org/officeDocument/2006/relationships/vmlDrawing" Target="../drawings/vmlDrawing3.vml"/><Relationship Id="rId5" Type="http://schemas.openxmlformats.org/officeDocument/2006/relationships/printerSettings" Target="../printerSettings/printerSettings70.bin"/><Relationship Id="rId4" Type="http://schemas.openxmlformats.org/officeDocument/2006/relationships/printerSettings" Target="../printerSettings/printerSettings6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3.bin"/><Relationship Id="rId2" Type="http://schemas.openxmlformats.org/officeDocument/2006/relationships/printerSettings" Target="../printerSettings/printerSettings72.bin"/><Relationship Id="rId1" Type="http://schemas.openxmlformats.org/officeDocument/2006/relationships/printerSettings" Target="../printerSettings/printerSettings71.bin"/><Relationship Id="rId5" Type="http://schemas.openxmlformats.org/officeDocument/2006/relationships/printerSettings" Target="../printerSettings/printerSettings75.bin"/><Relationship Id="rId4" Type="http://schemas.openxmlformats.org/officeDocument/2006/relationships/printerSettings" Target="../printerSettings/printerSettings7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</sheetPr>
  <dimension ref="A1:AA26"/>
  <sheetViews>
    <sheetView showGridLines="0" tabSelected="1" zoomScale="85" zoomScaleNormal="85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Q13" sqref="Q13"/>
    </sheetView>
  </sheetViews>
  <sheetFormatPr defaultColWidth="0" defaultRowHeight="15" zeroHeight="1"/>
  <cols>
    <col min="1" max="1" width="2.140625" style="86" customWidth="1"/>
    <col min="2" max="2" width="9.140625" style="86" customWidth="1"/>
    <col min="3" max="3" width="12.7109375" style="86" bestFit="1" customWidth="1"/>
    <col min="4" max="4" width="33.85546875" style="86" bestFit="1" customWidth="1"/>
    <col min="5" max="5" width="15.42578125" style="86" bestFit="1" customWidth="1"/>
    <col min="6" max="6" width="12.140625" style="86" bestFit="1" customWidth="1"/>
    <col min="7" max="7" width="7.28515625" style="86" customWidth="1"/>
    <col min="8" max="8" width="16.7109375" style="86" bestFit="1" customWidth="1"/>
    <col min="9" max="9" width="5.7109375" style="86" bestFit="1" customWidth="1"/>
    <col min="10" max="10" width="9.42578125" style="86" bestFit="1" customWidth="1"/>
    <col min="11" max="11" width="5.5703125" style="86" bestFit="1" customWidth="1"/>
    <col min="12" max="12" width="6.42578125" style="86" bestFit="1" customWidth="1"/>
    <col min="13" max="15" width="11.5703125" style="86" bestFit="1" customWidth="1"/>
    <col min="16" max="16" width="9.140625" style="86" customWidth="1"/>
    <col min="17" max="17" width="15.140625" style="86" bestFit="1" customWidth="1"/>
    <col min="18" max="18" width="10.42578125" style="86" bestFit="1" customWidth="1"/>
    <col min="19" max="19" width="9.140625" style="86" customWidth="1"/>
    <col min="20" max="27" width="0" style="86" hidden="1" customWidth="1"/>
    <col min="28" max="16384" width="9.140625" style="86" hidden="1"/>
  </cols>
  <sheetData>
    <row r="1" spans="2:18" ht="15.75" thickBot="1"/>
    <row r="2" spans="2:18" ht="23.25" thickBot="1">
      <c r="B2" s="326" t="str">
        <f>R5&amp;" Consumption Report Summary of "&amp; TEXT($R$4," MMM YY")</f>
        <v>SOC Consumption Report Summary of  Feb 26</v>
      </c>
      <c r="C2" s="327"/>
      <c r="D2" s="327"/>
      <c r="E2" s="327"/>
      <c r="F2" s="327"/>
      <c r="G2" s="327"/>
      <c r="H2" s="327"/>
      <c r="I2" s="327"/>
      <c r="J2" s="327"/>
      <c r="K2" s="327"/>
      <c r="L2" s="327"/>
      <c r="M2" s="327"/>
      <c r="N2" s="327"/>
      <c r="O2" s="327"/>
      <c r="P2" s="327"/>
      <c r="Q2" s="327"/>
      <c r="R2" s="328"/>
    </row>
    <row r="3" spans="2:18">
      <c r="Q3" s="329" t="s">
        <v>248</v>
      </c>
      <c r="R3" s="329"/>
    </row>
    <row r="4" spans="2:18">
      <c r="Q4" s="87" t="s">
        <v>3</v>
      </c>
      <c r="R4" s="247">
        <v>46054</v>
      </c>
    </row>
    <row r="5" spans="2:18">
      <c r="Q5" s="87" t="s">
        <v>255</v>
      </c>
      <c r="R5" s="321" t="s">
        <v>499</v>
      </c>
    </row>
    <row r="6" spans="2:18">
      <c r="Q6" s="87"/>
      <c r="R6" s="88"/>
    </row>
    <row r="7" spans="2:18" ht="25.5" customHeight="1">
      <c r="C7" s="333" t="str">
        <f>R5&amp;" Electricity &amp; DG"</f>
        <v>SOC Electricity &amp; DG</v>
      </c>
      <c r="D7" s="334"/>
      <c r="E7" s="334"/>
      <c r="F7" s="206" t="s">
        <v>278</v>
      </c>
      <c r="H7" s="89"/>
      <c r="I7" s="89" t="s">
        <v>50</v>
      </c>
      <c r="J7" s="92" t="s">
        <v>9</v>
      </c>
      <c r="K7" s="93" t="s">
        <v>249</v>
      </c>
      <c r="L7" s="93" t="s">
        <v>250</v>
      </c>
      <c r="M7" s="93" t="s">
        <v>251</v>
      </c>
      <c r="N7" s="93" t="s">
        <v>227</v>
      </c>
      <c r="O7" s="93" t="s">
        <v>226</v>
      </c>
    </row>
    <row r="8" spans="2:18">
      <c r="C8" s="330" t="s">
        <v>256</v>
      </c>
      <c r="D8" s="322" t="s">
        <v>187</v>
      </c>
      <c r="E8" s="90" t="s">
        <v>220</v>
      </c>
      <c r="F8" s="102">
        <f>'Inside Meter '!F39</f>
        <v>1078</v>
      </c>
      <c r="H8" s="89" t="s">
        <v>268</v>
      </c>
      <c r="I8" s="91">
        <f>Bisleri_Consu!I9</f>
        <v>0</v>
      </c>
      <c r="J8" s="91">
        <f>Bisleri_Consu!N9</f>
        <v>20</v>
      </c>
      <c r="K8" s="91">
        <f>Bisleri_Consu!AT9</f>
        <v>12</v>
      </c>
      <c r="L8" s="91">
        <f>Bisleri_Consu!AU9</f>
        <v>8</v>
      </c>
      <c r="M8" s="94">
        <f>Bisleri_Consu!AV9</f>
        <v>1754.2199999999998</v>
      </c>
      <c r="N8" s="94">
        <f>Bisleri_Consu!AW9</f>
        <v>915.28</v>
      </c>
      <c r="O8" s="94">
        <f>Bisleri_Consu!AX9</f>
        <v>0</v>
      </c>
    </row>
    <row r="9" spans="2:18">
      <c r="C9" s="331"/>
      <c r="D9" s="324"/>
      <c r="E9" s="90" t="s">
        <v>221</v>
      </c>
      <c r="F9" s="102">
        <f>'Inside Meter '!I39</f>
        <v>7947.5999999998603</v>
      </c>
      <c r="H9" s="89" t="s">
        <v>269</v>
      </c>
      <c r="I9" s="91">
        <f>Medical_Items!I27</f>
        <v>22</v>
      </c>
      <c r="J9" s="91">
        <f>Medical_Items!N27</f>
        <v>119</v>
      </c>
      <c r="K9" s="91">
        <f>Medical_Items!AT27</f>
        <v>7</v>
      </c>
      <c r="L9" s="91">
        <f>Medical_Items!AU27</f>
        <v>112</v>
      </c>
      <c r="M9" s="94">
        <f>Medical_Items!AV27</f>
        <v>494.32</v>
      </c>
      <c r="N9" s="94">
        <f>Medical_Items!AW27</f>
        <v>3265.99</v>
      </c>
      <c r="O9" s="94">
        <f>Medical_Items!AX27</f>
        <v>1879.08</v>
      </c>
    </row>
    <row r="10" spans="2:18">
      <c r="C10" s="332"/>
      <c r="D10" s="103" t="s">
        <v>215</v>
      </c>
      <c r="E10" s="90" t="s">
        <v>222</v>
      </c>
      <c r="F10" s="102">
        <f>'Inside Meter '!O39</f>
        <v>42553.860000000102</v>
      </c>
      <c r="H10" s="89" t="s">
        <v>252</v>
      </c>
      <c r="I10" s="91">
        <f>Stationery!H123</f>
        <v>81</v>
      </c>
      <c r="J10" s="91">
        <f>Stationery!I123</f>
        <v>1344</v>
      </c>
      <c r="K10" s="91">
        <f>Stationery!AO123</f>
        <v>183</v>
      </c>
      <c r="L10" s="91">
        <f>Stationery!AP123</f>
        <v>1181</v>
      </c>
      <c r="M10" s="94">
        <f>Stationery!AQ123</f>
        <v>4216</v>
      </c>
      <c r="N10" s="94">
        <f>Stationery!AR123</f>
        <v>16182.1</v>
      </c>
      <c r="O10" s="94">
        <f>Stationery!AS123</f>
        <v>4248</v>
      </c>
    </row>
    <row r="11" spans="2:18">
      <c r="C11" s="325" t="s">
        <v>257</v>
      </c>
      <c r="D11" s="322" t="s">
        <v>259</v>
      </c>
      <c r="E11" s="90" t="s">
        <v>260</v>
      </c>
      <c r="F11" s="102">
        <f>'OutSide Meter'!F38</f>
        <v>6640</v>
      </c>
      <c r="H11" s="89" t="s">
        <v>253</v>
      </c>
      <c r="I11" s="91">
        <f>'HK Material'!I81</f>
        <v>1405</v>
      </c>
      <c r="J11" s="91">
        <f>'HK Material'!J81</f>
        <v>1984</v>
      </c>
      <c r="K11" s="91">
        <f>'HK Material'!AP81</f>
        <v>795</v>
      </c>
      <c r="L11" s="91">
        <f>'HK Material'!AQ81</f>
        <v>1189</v>
      </c>
      <c r="M11" s="94">
        <f>'HK Material'!AR81</f>
        <v>23747</v>
      </c>
      <c r="N11" s="94">
        <f>'HK Material'!AS81</f>
        <v>51402.5</v>
      </c>
      <c r="O11" s="94">
        <f>'HK Material'!AT81</f>
        <v>43843</v>
      </c>
    </row>
    <row r="12" spans="2:18">
      <c r="C12" s="325"/>
      <c r="D12" s="323"/>
      <c r="E12" s="90" t="s">
        <v>201</v>
      </c>
      <c r="F12" s="102">
        <f>'OutSide Meter'!J38</f>
        <v>80</v>
      </c>
      <c r="H12" s="89" t="s">
        <v>277</v>
      </c>
      <c r="I12" s="91">
        <f>'Food Consu'!J37</f>
        <v>0</v>
      </c>
      <c r="J12" s="91">
        <f>I12</f>
        <v>0</v>
      </c>
      <c r="K12" s="91">
        <f>'Food Consu'!J37</f>
        <v>0</v>
      </c>
      <c r="L12" s="91">
        <f>K12</f>
        <v>0</v>
      </c>
      <c r="M12" s="94">
        <f>'Food Consu'!N37</f>
        <v>0</v>
      </c>
      <c r="N12" s="94">
        <f>'Food Consu'!N37</f>
        <v>0</v>
      </c>
      <c r="O12" s="94">
        <f>'Food Consu'!M37</f>
        <v>0</v>
      </c>
    </row>
    <row r="13" spans="2:18" ht="25.5">
      <c r="C13" s="325"/>
      <c r="D13" s="323"/>
      <c r="E13" s="90" t="s">
        <v>202</v>
      </c>
      <c r="F13" s="102">
        <f>'OutSide Meter'!P38</f>
        <v>6960</v>
      </c>
      <c r="H13" s="89" t="s">
        <v>276</v>
      </c>
      <c r="I13" s="91">
        <f>'Veebha Tea&amp;Coffee'!I10</f>
        <v>0</v>
      </c>
      <c r="J13" s="91">
        <f>'Veebha Tea&amp;Coffee'!N10</f>
        <v>164</v>
      </c>
      <c r="K13" s="91">
        <f>'Veebha Tea&amp;Coffee'!AT10</f>
        <v>8</v>
      </c>
      <c r="L13" s="91">
        <f>'Veebha Tea&amp;Coffee'!AU10</f>
        <v>156</v>
      </c>
      <c r="M13" s="94">
        <f>'Veebha Tea&amp;Coffee'!AV10</f>
        <v>1280</v>
      </c>
      <c r="N13" s="94">
        <f>'Veebha Tea&amp;Coffee'!AW10</f>
        <v>24960</v>
      </c>
      <c r="O13" s="94">
        <f>'Veebha Tea&amp;Coffee'!AX10</f>
        <v>0</v>
      </c>
    </row>
    <row r="14" spans="2:18" ht="25.5">
      <c r="C14" s="325"/>
      <c r="D14" s="324"/>
      <c r="E14" s="90" t="s">
        <v>203</v>
      </c>
      <c r="F14" s="102">
        <f>'OutSide Meter'!T38</f>
        <v>0</v>
      </c>
      <c r="H14" s="89" t="s">
        <v>282</v>
      </c>
      <c r="I14" s="91">
        <f>'Sumant Tea&amp;Coffee'!I12</f>
        <v>2062</v>
      </c>
      <c r="J14" s="91">
        <f>'Sumant Tea&amp;Coffee'!N12</f>
        <v>3153</v>
      </c>
      <c r="K14" s="91">
        <f>'Sumant Tea&amp;Coffee'!AT12</f>
        <v>27</v>
      </c>
      <c r="L14" s="91">
        <f>'Sumant Tea&amp;Coffee'!AU12</f>
        <v>3126</v>
      </c>
      <c r="M14" s="94">
        <f>'Sumant Tea&amp;Coffee'!AV12</f>
        <v>4518.96</v>
      </c>
      <c r="N14" s="94">
        <f>'Sumant Tea&amp;Coffee'!AW12</f>
        <v>19120.559999999998</v>
      </c>
      <c r="O14" s="94">
        <f>'Sumant Tea&amp;Coffee'!AX12</f>
        <v>12816.96</v>
      </c>
    </row>
    <row r="15" spans="2:18">
      <c r="C15" s="325"/>
      <c r="D15" s="322" t="s">
        <v>261</v>
      </c>
      <c r="E15" s="90" t="s">
        <v>217</v>
      </c>
      <c r="F15" s="102">
        <f>'OutSide Meter'!Y38</f>
        <v>89894</v>
      </c>
      <c r="H15" s="89" t="s">
        <v>283</v>
      </c>
      <c r="I15" s="91">
        <f>'Toner Consu'!I15</f>
        <v>2</v>
      </c>
      <c r="J15" s="91">
        <f>'Toner Consu'!N15</f>
        <v>10</v>
      </c>
      <c r="K15" s="91">
        <f>'Toner Consu'!AT15</f>
        <v>5</v>
      </c>
      <c r="L15" s="91">
        <f>'Toner Consu'!AU15</f>
        <v>5</v>
      </c>
      <c r="M15" s="94">
        <f>'Toner Consu'!AV15</f>
        <v>4400</v>
      </c>
      <c r="N15" s="94">
        <f>'Toner Consu'!AW15</f>
        <v>6000</v>
      </c>
      <c r="O15" s="94">
        <f>'Toner Consu'!AX15</f>
        <v>2400</v>
      </c>
    </row>
    <row r="16" spans="2:18">
      <c r="C16" s="325"/>
      <c r="D16" s="324"/>
      <c r="E16" s="90" t="s">
        <v>216</v>
      </c>
      <c r="F16" s="102">
        <f>'OutSide Meter'!AB38</f>
        <v>96612</v>
      </c>
      <c r="H16" s="89" t="s">
        <v>284</v>
      </c>
      <c r="I16" s="91">
        <f>Water!D36</f>
        <v>259</v>
      </c>
      <c r="J16" s="91">
        <f>Water!D36</f>
        <v>259</v>
      </c>
      <c r="K16" s="91">
        <f>Water!G36</f>
        <v>269</v>
      </c>
      <c r="L16" s="91">
        <f>Water!J41</f>
        <v>0</v>
      </c>
      <c r="M16" s="94">
        <f>K16*Water!B3</f>
        <v>9415</v>
      </c>
      <c r="N16" s="94">
        <f>Water!J41*Water!B3</f>
        <v>0</v>
      </c>
      <c r="O16" s="94">
        <f>Water!D36*Water!B3</f>
        <v>9065</v>
      </c>
    </row>
    <row r="17" spans="3:15">
      <c r="C17" s="325"/>
      <c r="D17" s="322" t="s">
        <v>262</v>
      </c>
      <c r="E17" s="90" t="s">
        <v>218</v>
      </c>
      <c r="F17" s="102">
        <f>'OutSide Meter'!AG38</f>
        <v>90.657799999999952</v>
      </c>
      <c r="H17" s="89" t="s">
        <v>285</v>
      </c>
      <c r="I17" s="246" t="s">
        <v>254</v>
      </c>
      <c r="J17" s="246" t="s">
        <v>254</v>
      </c>
      <c r="K17" s="246" t="s">
        <v>254</v>
      </c>
      <c r="L17" s="246" t="s">
        <v>254</v>
      </c>
      <c r="M17" s="94">
        <f>'Gallant SG'!AS12</f>
        <v>34721.866666666669</v>
      </c>
      <c r="N17" s="94">
        <f>'Gallant SG'!AS12</f>
        <v>34721.866666666669</v>
      </c>
      <c r="O17" s="94">
        <f>'Gallant SG'!AS12</f>
        <v>34721.866666666669</v>
      </c>
    </row>
    <row r="18" spans="3:15">
      <c r="C18" s="325"/>
      <c r="D18" s="324"/>
      <c r="E18" s="90" t="s">
        <v>219</v>
      </c>
      <c r="F18" s="102">
        <f>'OutSide Meter'!AJ38</f>
        <v>278.99340000000029</v>
      </c>
      <c r="H18" s="89" t="s">
        <v>290</v>
      </c>
      <c r="I18" s="246" t="s">
        <v>254</v>
      </c>
      <c r="J18" s="246" t="s">
        <v>254</v>
      </c>
      <c r="K18" s="246" t="s">
        <v>254</v>
      </c>
      <c r="L18" s="246" t="s">
        <v>254</v>
      </c>
      <c r="M18" s="94">
        <f>'OOPL SG '!AR16</f>
        <v>88091.666666666686</v>
      </c>
      <c r="N18" s="94">
        <f t="shared" ref="N18:O20" si="0">M18</f>
        <v>88091.666666666686</v>
      </c>
      <c r="O18" s="94">
        <f t="shared" si="0"/>
        <v>88091.666666666686</v>
      </c>
    </row>
    <row r="19" spans="3:15">
      <c r="H19" s="89" t="s">
        <v>291</v>
      </c>
      <c r="I19" s="246" t="s">
        <v>254</v>
      </c>
      <c r="J19" s="246" t="s">
        <v>254</v>
      </c>
      <c r="K19" s="246" t="s">
        <v>254</v>
      </c>
      <c r="L19" s="246" t="s">
        <v>254</v>
      </c>
      <c r="M19" s="94">
        <f>'Imperial HK'!AR23</f>
        <v>113108.17343749999</v>
      </c>
      <c r="N19" s="94">
        <f t="shared" si="0"/>
        <v>113108.17343749999</v>
      </c>
      <c r="O19" s="94">
        <f t="shared" si="0"/>
        <v>113108.17343749999</v>
      </c>
    </row>
    <row r="20" spans="3:15">
      <c r="H20" s="89" t="s">
        <v>500</v>
      </c>
      <c r="I20" s="246" t="s">
        <v>254</v>
      </c>
      <c r="J20" s="246" t="s">
        <v>254</v>
      </c>
      <c r="K20" s="246" t="s">
        <v>254</v>
      </c>
      <c r="L20" s="246" t="s">
        <v>254</v>
      </c>
      <c r="M20" s="94">
        <f>'Extra Bills'!I99</f>
        <v>0</v>
      </c>
      <c r="N20" s="94">
        <f t="shared" si="0"/>
        <v>0</v>
      </c>
      <c r="O20" s="94">
        <f t="shared" si="0"/>
        <v>0</v>
      </c>
    </row>
    <row r="21" spans="3:15"/>
    <row r="22" spans="3:15"/>
    <row r="23" spans="3:15"/>
    <row r="24" spans="3:15"/>
    <row r="25" spans="3:15"/>
    <row r="26" spans="3:15"/>
  </sheetData>
  <sheetProtection algorithmName="SHA-512" hashValue="C31Mekw6XyK/OeJDUnQ/Jm04HkP4cS1bkcPb3K/eMydSFKRpHFa1QFqQhaWkMp03w9oLXVNDbxV8Tqx9MlaeOA==" saltValue="vuJWjh84XFAIM+V1Srky2g==" spinCount="100000" sheet="1" objects="1" scenarios="1"/>
  <customSheetViews>
    <customSheetView guid="{5E113600-004F-4409-A088-DFECFF9BC96A}" showGridLines="0" hiddenRows="1" hiddenColumns="1">
      <pane xSplit="1" ySplit="5" topLeftCell="B6" activePane="bottomRight" state="frozen"/>
      <selection pane="bottomRight" activeCell="P15" sqref="P15"/>
      <pageMargins left="0.7" right="0.7" top="0.75" bottom="0.75" header="0.3" footer="0.3"/>
      <pageSetup orientation="portrait" r:id="rId1"/>
    </customSheetView>
    <customSheetView guid="{1F97382E-80B0-473D-874E-BD5E60D01A4B}" showGridLines="0" hiddenRows="1" hiddenColumns="1">
      <pane xSplit="1" ySplit="5" topLeftCell="B6" activePane="bottomRight" state="frozen"/>
      <selection pane="bottomRight" activeCell="E21" sqref="E21"/>
      <pageMargins left="0.7" right="0.7" top="0.75" bottom="0.75" header="0.3" footer="0.3"/>
      <pageSetup orientation="portrait" r:id="rId2"/>
    </customSheetView>
    <customSheetView guid="{7663FDEA-AE2F-416B-8123-1D493B6639C0}" showGridLines="0" hiddenRows="1" hiddenColumns="1">
      <pane xSplit="1" ySplit="5" topLeftCell="B6" activePane="bottomRight" state="frozen"/>
      <selection pane="bottomRight" activeCell="P8" sqref="P8"/>
      <pageMargins left="0.7" right="0.7" top="0.75" bottom="0.75" header="0.3" footer="0.3"/>
      <pageSetup orientation="portrait" r:id="rId3"/>
    </customSheetView>
    <customSheetView guid="{C287C8AD-6E2E-4D5F-930B-C18EF9030790}" showGridLines="0" hiddenRows="1" hiddenColumns="1">
      <pane xSplit="1" ySplit="5" topLeftCell="B6" activePane="bottomRight" state="frozen"/>
      <selection pane="bottomRight" activeCell="O16" sqref="O16"/>
      <pageMargins left="0.7" right="0.7" top="0.75" bottom="0.75" header="0.3" footer="0.3"/>
      <pageSetup orientation="portrait" r:id="rId4"/>
    </customSheetView>
  </customSheetViews>
  <mergeCells count="9">
    <mergeCell ref="D11:D14"/>
    <mergeCell ref="D15:D16"/>
    <mergeCell ref="D17:D18"/>
    <mergeCell ref="C11:C18"/>
    <mergeCell ref="B2:R2"/>
    <mergeCell ref="Q3:R3"/>
    <mergeCell ref="D8:D9"/>
    <mergeCell ref="C8:C10"/>
    <mergeCell ref="C7:E7"/>
  </mergeCells>
  <conditionalFormatting sqref="A1:XFD6 A7:C7 F7:XFD7 H8:O20 A8:G21 P8:XFD21 A22:XFD1048576">
    <cfRule type="cellIs" dxfId="1328" priority="1" operator="lessThan">
      <formula>0</formula>
    </cfRule>
  </conditionalFormatting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M9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3" sqref="C3"/>
    </sheetView>
  </sheetViews>
  <sheetFormatPr defaultColWidth="0" defaultRowHeight="15"/>
  <cols>
    <col min="1" max="1" width="3" style="86" bestFit="1" customWidth="1"/>
    <col min="2" max="2" width="36.28515625" style="86" bestFit="1" customWidth="1"/>
    <col min="3" max="3" width="16.5703125" style="86" bestFit="1" customWidth="1"/>
    <col min="4" max="4" width="10.42578125" style="86" bestFit="1" customWidth="1"/>
    <col min="5" max="5" width="27" style="86" bestFit="1" customWidth="1"/>
    <col min="6" max="6" width="9.42578125" style="86" bestFit="1" customWidth="1"/>
    <col min="7" max="7" width="11.85546875" style="86" bestFit="1" customWidth="1"/>
    <col min="8" max="8" width="11.42578125" style="86" bestFit="1" customWidth="1"/>
    <col min="9" max="9" width="22.28515625" style="86" bestFit="1" customWidth="1"/>
    <col min="10" max="11" width="9" style="86" bestFit="1" customWidth="1"/>
    <col min="12" max="12" width="22.28515625" style="86" bestFit="1" customWidth="1"/>
    <col min="13" max="13" width="2.140625" style="86" customWidth="1"/>
    <col min="14" max="16384" width="9.140625" style="86" hidden="1"/>
  </cols>
  <sheetData>
    <row r="1" spans="2:12" ht="11.25" customHeight="1" thickBot="1"/>
    <row r="2" spans="2:12">
      <c r="B2" s="133" t="s">
        <v>255</v>
      </c>
      <c r="C2" s="134" t="s">
        <v>108</v>
      </c>
      <c r="D2" s="135" t="s">
        <v>106</v>
      </c>
      <c r="E2" s="136" t="s">
        <v>103</v>
      </c>
      <c r="F2" s="135" t="s">
        <v>104</v>
      </c>
      <c r="G2" s="135" t="s">
        <v>105</v>
      </c>
      <c r="H2" s="135" t="s">
        <v>107</v>
      </c>
      <c r="I2" s="137" t="s">
        <v>109</v>
      </c>
      <c r="J2" s="135" t="s">
        <v>263</v>
      </c>
      <c r="K2" s="135" t="s">
        <v>110</v>
      </c>
      <c r="L2" s="137" t="s">
        <v>111</v>
      </c>
    </row>
    <row r="3" spans="2:12"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spans="2:12"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spans="2:12"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</row>
    <row r="6" spans="2:12">
      <c r="B6" s="139"/>
      <c r="C6" s="139"/>
      <c r="D6" s="140"/>
      <c r="E6" s="141"/>
      <c r="F6" s="142"/>
      <c r="G6" s="143"/>
      <c r="H6" s="142"/>
      <c r="I6" s="144"/>
      <c r="J6" s="145"/>
      <c r="K6" s="145"/>
      <c r="L6" s="146"/>
    </row>
    <row r="7" spans="2:12"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</row>
    <row r="8" spans="2:12"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</row>
    <row r="9" spans="2:12"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</row>
    <row r="10" spans="2:12"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</row>
    <row r="11" spans="2:12"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</row>
    <row r="12" spans="2:12"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</row>
    <row r="13" spans="2:12">
      <c r="B13" s="138"/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spans="2:12"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</row>
    <row r="15" spans="2:12"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</row>
    <row r="16" spans="2:12"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</row>
    <row r="17" spans="2:12"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</row>
    <row r="18" spans="2:12"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</row>
    <row r="19" spans="2:12"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</row>
    <row r="20" spans="2:12"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</row>
    <row r="21" spans="2:12"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</row>
    <row r="22" spans="2:12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</row>
    <row r="23" spans="2:12"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</row>
    <row r="24" spans="2:12"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</row>
    <row r="25" spans="2:12"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</row>
    <row r="26" spans="2:12"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</row>
    <row r="27" spans="2:12"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</row>
    <row r="28" spans="2:12"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</row>
    <row r="29" spans="2:12"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</row>
    <row r="30" spans="2:12"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</row>
    <row r="31" spans="2:12"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</row>
    <row r="32" spans="2:12"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</row>
    <row r="33" spans="2:12"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</row>
    <row r="34" spans="2:12"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</row>
    <row r="35" spans="2:12"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</row>
    <row r="36" spans="2:12"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</row>
    <row r="37" spans="2:12"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</row>
    <row r="38" spans="2:12"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</row>
    <row r="39" spans="2:12"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</row>
    <row r="40" spans="2:12"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</row>
    <row r="41" spans="2:12"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</row>
    <row r="42" spans="2:12"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</row>
    <row r="43" spans="2:12"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</row>
    <row r="44" spans="2:12"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</row>
    <row r="45" spans="2:12"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</row>
    <row r="46" spans="2:12"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</row>
    <row r="47" spans="2:12"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</row>
    <row r="48" spans="2:12"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</row>
    <row r="49" spans="2:12"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</row>
    <row r="50" spans="2:12"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</row>
    <row r="51" spans="2:12"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</row>
    <row r="52" spans="2:12"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</row>
    <row r="53" spans="2:12"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</row>
    <row r="54" spans="2:12"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</row>
    <row r="55" spans="2:12"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</row>
    <row r="56" spans="2:12"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</row>
    <row r="57" spans="2:12"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</row>
    <row r="58" spans="2:12"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</row>
    <row r="59" spans="2:12"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</row>
    <row r="60" spans="2:12"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</row>
    <row r="61" spans="2:12"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</row>
    <row r="62" spans="2:12"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</row>
    <row r="63" spans="2:12"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</row>
    <row r="64" spans="2:12"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</row>
    <row r="65" spans="2:12"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</row>
    <row r="66" spans="2:12"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</row>
    <row r="67" spans="2:12"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</row>
    <row r="68" spans="2:12"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</row>
    <row r="69" spans="2:12"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2:12"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2:12"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2:12"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2:12"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2:12"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2:12"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2:12"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2:12"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</row>
    <row r="78" spans="2:12"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</row>
    <row r="79" spans="2:12"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</row>
    <row r="80" spans="2:12"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</row>
    <row r="81" spans="2:12"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</row>
    <row r="82" spans="2:12"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</row>
    <row r="83" spans="2:12"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</row>
    <row r="84" spans="2:12"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</row>
    <row r="85" spans="2:12"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</row>
    <row r="86" spans="2:12"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</row>
    <row r="87" spans="2:12"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</row>
    <row r="88" spans="2:12"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</row>
    <row r="89" spans="2:12"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</row>
    <row r="90" spans="2:12"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</row>
    <row r="91" spans="2:12"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</row>
    <row r="92" spans="2:12"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</row>
    <row r="93" spans="2:12"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</row>
    <row r="94" spans="2:12"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</row>
    <row r="95" spans="2:12"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</row>
    <row r="96" spans="2:12"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</row>
    <row r="97" spans="2:12"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</row>
    <row r="98" spans="2:12"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</row>
    <row r="99" spans="2:12" ht="31.5">
      <c r="B99" s="335" t="s">
        <v>111</v>
      </c>
      <c r="C99" s="335"/>
      <c r="D99" s="335"/>
      <c r="E99" s="335"/>
      <c r="F99" s="335"/>
      <c r="G99" s="335"/>
      <c r="H99" s="335"/>
      <c r="I99" s="147">
        <f>SUM(I6:I98)</f>
        <v>0</v>
      </c>
      <c r="J99" s="148"/>
      <c r="K99" s="148"/>
      <c r="L99" s="147">
        <f>SUM(L6:L98)</f>
        <v>0</v>
      </c>
    </row>
  </sheetData>
  <sheetProtection password="CF7A" sheet="1" objects="1" scenarios="1"/>
  <customSheetViews>
    <customSheetView guid="{5E113600-004F-4409-A088-DFECFF9BC96A}" showGridLines="0" hiddenColumns="1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verticalDpi="0" r:id="rId1"/>
    </customSheetView>
    <customSheetView guid="{1F97382E-80B0-473D-874E-BD5E60D01A4B}" showGridLines="0" hiddenColumns="1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verticalDpi="0" r:id="rId2"/>
    </customSheetView>
    <customSheetView guid="{7663FDEA-AE2F-416B-8123-1D493B6639C0}" showGridLines="0" hiddenColumns="1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verticalDpi="0" r:id="rId3"/>
    </customSheetView>
    <customSheetView guid="{C287C8AD-6E2E-4D5F-930B-C18EF9030790}" showGridLines="0" hiddenColumns="1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verticalDpi="0" r:id="rId4"/>
    </customSheetView>
  </customSheetViews>
  <mergeCells count="1">
    <mergeCell ref="B99:H99"/>
  </mergeCells>
  <conditionalFormatting sqref="H2">
    <cfRule type="duplicateValues" dxfId="1327" priority="3"/>
    <cfRule type="duplicateValues" dxfId="1326" priority="4"/>
  </conditionalFormatting>
  <conditionalFormatting sqref="H6">
    <cfRule type="duplicateValues" dxfId="1325" priority="1"/>
    <cfRule type="duplicateValues" dxfId="1324" priority="2"/>
  </conditionalFormatting>
  <pageMargins left="0.7" right="0.7" top="0.75" bottom="0.75" header="0.3" footer="0.3"/>
  <pageSetup paperSize="9" orientation="portrait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FR41"/>
  <sheetViews>
    <sheetView showGridLines="0" zoomScaleNormal="100" workbookViewId="0">
      <pane xSplit="3" ySplit="6" topLeftCell="D7" activePane="bottomRight" state="frozen"/>
      <selection pane="topRight" activeCell="D1" sqref="D1"/>
      <selection pane="bottomLeft" activeCell="A6" sqref="A6"/>
      <selection pane="bottomRight" activeCell="M7" sqref="M7"/>
    </sheetView>
  </sheetViews>
  <sheetFormatPr defaultColWidth="0" defaultRowHeight="15" zeroHeight="1"/>
  <cols>
    <col min="1" max="1" width="3.28515625" style="5" customWidth="1"/>
    <col min="2" max="2" width="10.140625" style="5" bestFit="1" customWidth="1"/>
    <col min="3" max="3" width="4.5703125" style="5" bestFit="1" customWidth="1"/>
    <col min="4" max="4" width="13.7109375" style="5" bestFit="1" customWidth="1"/>
    <col min="5" max="5" width="13.85546875" style="5" customWidth="1"/>
    <col min="6" max="6" width="12" style="4" bestFit="1" customWidth="1"/>
    <col min="7" max="7" width="14.7109375" style="4" customWidth="1"/>
    <col min="8" max="8" width="14.7109375" style="5" bestFit="1" customWidth="1"/>
    <col min="9" max="9" width="15.85546875" style="5" customWidth="1"/>
    <col min="10" max="10" width="2.140625" style="4" customWidth="1"/>
    <col min="11" max="11" width="13" style="4" customWidth="1"/>
    <col min="12" max="12" width="4.5703125" style="4" bestFit="1" customWidth="1"/>
    <col min="13" max="13" width="14" style="4" customWidth="1"/>
    <col min="14" max="14" width="14.5703125" style="4" customWidth="1"/>
    <col min="15" max="15" width="15.28515625" style="4" customWidth="1"/>
    <col min="16" max="16" width="9.140625" style="4" customWidth="1"/>
    <col min="17" max="17" width="9.140625" style="5" customWidth="1"/>
    <col min="18" max="18" width="9.140625" style="5" hidden="1" customWidth="1"/>
    <col min="19" max="19" width="12" style="5" hidden="1" customWidth="1"/>
    <col min="20" max="20" width="28" style="5" hidden="1" customWidth="1"/>
    <col min="21" max="21" width="14.140625" style="5" hidden="1" customWidth="1"/>
    <col min="22" max="22" width="13.42578125" style="5" hidden="1" customWidth="1"/>
    <col min="23" max="24" width="9.140625" style="5" hidden="1" customWidth="1"/>
    <col min="25" max="25" width="12.85546875" style="5" hidden="1" customWidth="1"/>
    <col min="26" max="26" width="9.140625" style="5" hidden="1" customWidth="1"/>
    <col min="27" max="27" width="14.28515625" style="5" hidden="1" customWidth="1"/>
    <col min="28" max="28" width="14" style="5" hidden="1" customWidth="1"/>
    <col min="29" max="850" width="0" style="5" hidden="1" customWidth="1"/>
    <col min="851" max="16384" width="9.140625" style="6" hidden="1"/>
  </cols>
  <sheetData>
    <row r="1" spans="2:850" ht="15.75" thickBot="1"/>
    <row r="2" spans="2:850" ht="21.75" thickBot="1">
      <c r="B2" s="336" t="str">
        <f>Summary!$R$5&amp;" Home Meter Reading "&amp;TEXT(Summary!$R$4,"MMM YY")</f>
        <v>SOC Home Meter Reading Feb 26</v>
      </c>
      <c r="C2" s="337"/>
      <c r="D2" s="337"/>
      <c r="E2" s="337"/>
      <c r="F2" s="337"/>
      <c r="G2" s="337"/>
      <c r="H2" s="337"/>
      <c r="I2" s="337"/>
      <c r="J2" s="337"/>
      <c r="K2" s="337"/>
      <c r="L2" s="337"/>
      <c r="M2" s="337"/>
      <c r="N2" s="337"/>
      <c r="O2" s="338"/>
    </row>
    <row r="3" spans="2:850">
      <c r="D3" s="339" t="s">
        <v>187</v>
      </c>
      <c r="E3" s="339"/>
      <c r="F3" s="339"/>
      <c r="G3" s="339"/>
      <c r="H3" s="339"/>
      <c r="I3" s="339"/>
      <c r="K3" s="5"/>
      <c r="L3" s="5"/>
      <c r="M3" s="339" t="s">
        <v>215</v>
      </c>
      <c r="N3" s="339"/>
      <c r="O3" s="339"/>
      <c r="AFC3" s="6"/>
      <c r="AFD3" s="6"/>
      <c r="AFE3" s="6"/>
      <c r="AFF3" s="6"/>
      <c r="AFG3" s="6"/>
      <c r="AFH3" s="6"/>
      <c r="AFI3" s="6"/>
      <c r="AFJ3" s="6"/>
      <c r="AFK3" s="6"/>
      <c r="AFL3" s="6"/>
      <c r="AFM3" s="6"/>
      <c r="AFN3" s="6"/>
      <c r="AFO3" s="6"/>
      <c r="AFP3" s="6"/>
      <c r="AFQ3" s="6"/>
      <c r="AFR3" s="6"/>
    </row>
    <row r="4" spans="2:850">
      <c r="D4" s="342" t="s">
        <v>220</v>
      </c>
      <c r="E4" s="343"/>
      <c r="F4" s="343"/>
      <c r="G4" s="340" t="s">
        <v>221</v>
      </c>
      <c r="H4" s="341"/>
      <c r="I4" s="341"/>
      <c r="K4" s="5"/>
      <c r="L4" s="5"/>
      <c r="M4" s="342" t="s">
        <v>222</v>
      </c>
      <c r="N4" s="343"/>
      <c r="O4" s="343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</row>
    <row r="5" spans="2:850">
      <c r="B5" s="106" t="s">
        <v>258</v>
      </c>
      <c r="C5" s="106" t="s">
        <v>258</v>
      </c>
      <c r="D5" s="105"/>
      <c r="E5" s="105"/>
      <c r="F5" s="106" t="s">
        <v>258</v>
      </c>
      <c r="G5" s="105"/>
      <c r="H5" s="105"/>
      <c r="I5" s="106" t="s">
        <v>258</v>
      </c>
      <c r="K5" s="106" t="s">
        <v>258</v>
      </c>
      <c r="L5" s="106" t="s">
        <v>258</v>
      </c>
      <c r="M5" s="105"/>
      <c r="N5" s="105"/>
      <c r="O5" s="106" t="s">
        <v>258</v>
      </c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</row>
    <row r="6" spans="2:850">
      <c r="B6" s="107" t="s">
        <v>177</v>
      </c>
      <c r="C6" s="107" t="s">
        <v>0</v>
      </c>
      <c r="D6" s="104" t="s">
        <v>178</v>
      </c>
      <c r="E6" s="104" t="s">
        <v>179</v>
      </c>
      <c r="F6" s="104" t="s">
        <v>188</v>
      </c>
      <c r="G6" s="104" t="s">
        <v>178</v>
      </c>
      <c r="H6" s="104" t="s">
        <v>179</v>
      </c>
      <c r="I6" s="104" t="s">
        <v>188</v>
      </c>
      <c r="K6" s="107" t="s">
        <v>177</v>
      </c>
      <c r="L6" s="107" t="s">
        <v>0</v>
      </c>
      <c r="M6" s="104" t="s">
        <v>178</v>
      </c>
      <c r="N6" s="104" t="s">
        <v>179</v>
      </c>
      <c r="O6" s="104" t="s">
        <v>188</v>
      </c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</row>
    <row r="7" spans="2:850">
      <c r="B7" s="112">
        <f>B8-1</f>
        <v>46053</v>
      </c>
      <c r="C7" s="112" t="str">
        <f>TEXT(B7,"DDD")</f>
        <v>Sat</v>
      </c>
      <c r="D7" s="249">
        <v>284123</v>
      </c>
      <c r="E7" s="249">
        <v>284161.5</v>
      </c>
      <c r="F7" s="110">
        <f>E7-D7</f>
        <v>38.5</v>
      </c>
      <c r="G7" s="249">
        <v>1327218</v>
      </c>
      <c r="H7" s="251">
        <v>1327526.1000000001</v>
      </c>
      <c r="I7" s="110">
        <f>H7-G7</f>
        <v>308.10000000009313</v>
      </c>
      <c r="K7" s="112">
        <f>K8-1</f>
        <v>46053</v>
      </c>
      <c r="L7" s="112" t="str">
        <f>TEXT(K7,"DDD")</f>
        <v>Sat</v>
      </c>
      <c r="M7" s="254">
        <v>1425197.52</v>
      </c>
      <c r="N7" s="254">
        <v>1425762.44</v>
      </c>
      <c r="O7" s="110">
        <f>N7-M7</f>
        <v>564.91999999992549</v>
      </c>
      <c r="AFC7" s="6"/>
      <c r="AFD7" s="6"/>
      <c r="AFE7" s="6"/>
      <c r="AFF7" s="6"/>
      <c r="AFG7" s="6"/>
      <c r="AFH7" s="6"/>
      <c r="AFI7" s="6"/>
      <c r="AFJ7" s="6"/>
      <c r="AFK7" s="6"/>
      <c r="AFL7" s="6"/>
      <c r="AFM7" s="6"/>
      <c r="AFN7" s="6"/>
      <c r="AFO7" s="6"/>
      <c r="AFP7" s="6"/>
      <c r="AFQ7" s="6"/>
      <c r="AFR7" s="6"/>
    </row>
    <row r="8" spans="2:850">
      <c r="B8" s="113">
        <f>Summary!R4</f>
        <v>46054</v>
      </c>
      <c r="C8" s="112" t="str">
        <f t="shared" ref="C8:C35" si="0">TEXT(B8,"DDD")</f>
        <v>Sun</v>
      </c>
      <c r="D8" s="249">
        <f>E7</f>
        <v>284161.5</v>
      </c>
      <c r="E8" s="249">
        <v>284212.09999999998</v>
      </c>
      <c r="F8" s="110">
        <f>E8-D8</f>
        <v>50.599999999976717</v>
      </c>
      <c r="G8" s="252">
        <f>H7</f>
        <v>1327526.1000000001</v>
      </c>
      <c r="H8" s="251">
        <v>1327821.7</v>
      </c>
      <c r="I8" s="110">
        <f>H8-G8</f>
        <v>295.5999999998603</v>
      </c>
      <c r="K8" s="113">
        <f>Summary!R4</f>
        <v>46054</v>
      </c>
      <c r="L8" s="112" t="str">
        <f t="shared" ref="L8:L35" si="1">TEXT(K8,"DDD")</f>
        <v>Sun</v>
      </c>
      <c r="M8" s="252">
        <f>N7</f>
        <v>1425762.44</v>
      </c>
      <c r="N8" s="254">
        <v>1425844.34</v>
      </c>
      <c r="O8" s="110">
        <f t="shared" ref="O8:O38" si="2">N8-M8</f>
        <v>81.900000000139698</v>
      </c>
      <c r="AFB8" s="6"/>
      <c r="AFC8" s="6"/>
      <c r="AFD8" s="6"/>
      <c r="AFE8" s="6"/>
      <c r="AFF8" s="6"/>
      <c r="AFG8" s="6"/>
      <c r="AFH8" s="6"/>
      <c r="AFI8" s="6"/>
      <c r="AFJ8" s="6"/>
      <c r="AFK8" s="6"/>
      <c r="AFL8" s="6"/>
      <c r="AFM8" s="6"/>
      <c r="AFN8" s="6"/>
      <c r="AFO8" s="6"/>
      <c r="AFP8" s="6"/>
      <c r="AFQ8" s="6"/>
      <c r="AFR8" s="6"/>
    </row>
    <row r="9" spans="2:850">
      <c r="B9" s="113">
        <f>B8+1</f>
        <v>46055</v>
      </c>
      <c r="C9" s="112" t="str">
        <f t="shared" si="0"/>
        <v>Mon</v>
      </c>
      <c r="D9" s="249">
        <f t="shared" ref="D9:D38" si="3">E8</f>
        <v>284212.09999999998</v>
      </c>
      <c r="E9" s="249">
        <v>284273.09999999998</v>
      </c>
      <c r="F9" s="110">
        <f t="shared" ref="F9:F26" si="4">E9-D9</f>
        <v>61</v>
      </c>
      <c r="G9" s="252">
        <f t="shared" ref="G9:G38" si="5">H8</f>
        <v>1327821.7</v>
      </c>
      <c r="H9" s="251">
        <v>1328331.1000000001</v>
      </c>
      <c r="I9" s="110">
        <f>H9-G9</f>
        <v>509.4000000001397</v>
      </c>
      <c r="K9" s="113">
        <f>K8+1</f>
        <v>46055</v>
      </c>
      <c r="L9" s="112" t="str">
        <f t="shared" si="1"/>
        <v>Mon</v>
      </c>
      <c r="M9" s="252">
        <f t="shared" ref="M9:M38" si="6">N8</f>
        <v>1425844.34</v>
      </c>
      <c r="N9" s="254">
        <v>1430437.49</v>
      </c>
      <c r="O9" s="110">
        <f t="shared" si="2"/>
        <v>4593.1499999999069</v>
      </c>
      <c r="AFB9" s="6"/>
      <c r="AFC9" s="6"/>
      <c r="AFD9" s="6"/>
      <c r="AFE9" s="6"/>
      <c r="AFF9" s="6"/>
      <c r="AFG9" s="6"/>
      <c r="AFH9" s="6"/>
      <c r="AFI9" s="6"/>
      <c r="AFJ9" s="6"/>
      <c r="AFK9" s="6"/>
      <c r="AFL9" s="6"/>
      <c r="AFM9" s="6"/>
      <c r="AFN9" s="6"/>
      <c r="AFO9" s="6"/>
      <c r="AFP9" s="6"/>
      <c r="AFQ9" s="6"/>
      <c r="AFR9" s="6"/>
    </row>
    <row r="10" spans="2:850">
      <c r="B10" s="113">
        <f>B9+1</f>
        <v>46056</v>
      </c>
      <c r="C10" s="112" t="str">
        <f t="shared" si="0"/>
        <v>Tue</v>
      </c>
      <c r="D10" s="249">
        <f t="shared" si="3"/>
        <v>284273.09999999998</v>
      </c>
      <c r="E10" s="249">
        <v>284352.7</v>
      </c>
      <c r="F10" s="110">
        <f t="shared" si="4"/>
        <v>79.600000000034925</v>
      </c>
      <c r="G10" s="252">
        <f t="shared" si="5"/>
        <v>1328331.1000000001</v>
      </c>
      <c r="H10" s="251">
        <v>1328873.6000000001</v>
      </c>
      <c r="I10" s="110">
        <f>H10-G10</f>
        <v>542.5</v>
      </c>
      <c r="K10" s="113">
        <f>K9+1</f>
        <v>46056</v>
      </c>
      <c r="L10" s="112" t="str">
        <f t="shared" si="1"/>
        <v>Tue</v>
      </c>
      <c r="M10" s="252">
        <f t="shared" si="6"/>
        <v>1430437.49</v>
      </c>
      <c r="N10" s="254">
        <v>1433787.13</v>
      </c>
      <c r="O10" s="110">
        <f t="shared" si="2"/>
        <v>3349.6399999998976</v>
      </c>
      <c r="AFB10" s="6"/>
      <c r="AFC10" s="6"/>
      <c r="AFD10" s="6"/>
      <c r="AFE10" s="6"/>
      <c r="AFF10" s="6"/>
      <c r="AFG10" s="6"/>
      <c r="AFH10" s="6"/>
      <c r="AFI10" s="6"/>
      <c r="AFJ10" s="6"/>
      <c r="AFK10" s="6"/>
      <c r="AFL10" s="6"/>
      <c r="AFM10" s="6"/>
      <c r="AFN10" s="6"/>
      <c r="AFO10" s="6"/>
      <c r="AFP10" s="6"/>
      <c r="AFQ10" s="6"/>
      <c r="AFR10" s="6"/>
    </row>
    <row r="11" spans="2:850">
      <c r="B11" s="113">
        <f>B10+1</f>
        <v>46057</v>
      </c>
      <c r="C11" s="112" t="str">
        <f t="shared" si="0"/>
        <v>Wed</v>
      </c>
      <c r="D11" s="249">
        <f t="shared" si="3"/>
        <v>284352.7</v>
      </c>
      <c r="E11" s="249">
        <v>284414.59999999998</v>
      </c>
      <c r="F11" s="110">
        <f t="shared" si="4"/>
        <v>61.899999999965075</v>
      </c>
      <c r="G11" s="252">
        <f t="shared" si="5"/>
        <v>1328873.6000000001</v>
      </c>
      <c r="H11" s="251">
        <v>1329398.2</v>
      </c>
      <c r="I11" s="110">
        <f t="shared" ref="I11:I38" si="7">H11-G11</f>
        <v>524.5999999998603</v>
      </c>
      <c r="K11" s="113">
        <f t="shared" ref="K11:K38" si="8">K10+1</f>
        <v>46057</v>
      </c>
      <c r="L11" s="112" t="str">
        <f t="shared" si="1"/>
        <v>Wed</v>
      </c>
      <c r="M11" s="252">
        <f t="shared" si="6"/>
        <v>1433787.13</v>
      </c>
      <c r="N11" s="254">
        <v>1436046.32</v>
      </c>
      <c r="O11" s="110">
        <f t="shared" si="2"/>
        <v>2259.190000000177</v>
      </c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</row>
    <row r="12" spans="2:850">
      <c r="B12" s="113">
        <f>B11+1</f>
        <v>46058</v>
      </c>
      <c r="C12" s="112" t="str">
        <f t="shared" si="0"/>
        <v>Thu</v>
      </c>
      <c r="D12" s="249">
        <f t="shared" si="3"/>
        <v>284414.59999999998</v>
      </c>
      <c r="E12" s="249">
        <v>284490.59999999998</v>
      </c>
      <c r="F12" s="110">
        <f>E12-D12</f>
        <v>76</v>
      </c>
      <c r="G12" s="252">
        <f t="shared" si="5"/>
        <v>1329398.2</v>
      </c>
      <c r="H12" s="251">
        <v>1329947.3</v>
      </c>
      <c r="I12" s="110">
        <f>H12-G12</f>
        <v>549.10000000009313</v>
      </c>
      <c r="K12" s="113">
        <f t="shared" si="8"/>
        <v>46058</v>
      </c>
      <c r="L12" s="112" t="str">
        <f t="shared" si="1"/>
        <v>Thu</v>
      </c>
      <c r="M12" s="252">
        <f t="shared" si="6"/>
        <v>1436046.32</v>
      </c>
      <c r="N12" s="254">
        <v>1436576.25</v>
      </c>
      <c r="O12" s="110">
        <f t="shared" si="2"/>
        <v>529.92999999993481</v>
      </c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</row>
    <row r="13" spans="2:850">
      <c r="B13" s="113">
        <f>B12+1</f>
        <v>46059</v>
      </c>
      <c r="C13" s="112" t="str">
        <f t="shared" si="0"/>
        <v>Fri</v>
      </c>
      <c r="D13" s="249">
        <f t="shared" si="3"/>
        <v>284490.59999999998</v>
      </c>
      <c r="E13" s="249">
        <v>284544.09999999998</v>
      </c>
      <c r="F13" s="110">
        <f t="shared" si="4"/>
        <v>53.5</v>
      </c>
      <c r="G13" s="252">
        <f t="shared" si="5"/>
        <v>1329947.3</v>
      </c>
      <c r="H13" s="251">
        <v>1330433.6000000001</v>
      </c>
      <c r="I13" s="110">
        <f t="shared" si="7"/>
        <v>486.30000000004657</v>
      </c>
      <c r="K13" s="113">
        <f t="shared" si="8"/>
        <v>46059</v>
      </c>
      <c r="L13" s="112" t="str">
        <f t="shared" si="1"/>
        <v>Fri</v>
      </c>
      <c r="M13" s="252">
        <f t="shared" si="6"/>
        <v>1436576.25</v>
      </c>
      <c r="N13" s="254">
        <v>1437899.23</v>
      </c>
      <c r="O13" s="110">
        <f t="shared" si="2"/>
        <v>1322.9799999999814</v>
      </c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</row>
    <row r="14" spans="2:850">
      <c r="B14" s="113">
        <f t="shared" ref="B14:B38" si="9">B13+1</f>
        <v>46060</v>
      </c>
      <c r="C14" s="112" t="str">
        <f t="shared" si="0"/>
        <v>Sat</v>
      </c>
      <c r="D14" s="249">
        <f t="shared" si="3"/>
        <v>284544.09999999998</v>
      </c>
      <c r="E14" s="249">
        <v>284598.40000000002</v>
      </c>
      <c r="F14" s="110">
        <f t="shared" si="4"/>
        <v>54.300000000046566</v>
      </c>
      <c r="G14" s="252">
        <f t="shared" si="5"/>
        <v>1330433.6000000001</v>
      </c>
      <c r="H14" s="251">
        <v>1330752.6000000001</v>
      </c>
      <c r="I14" s="110">
        <f t="shared" si="7"/>
        <v>319</v>
      </c>
      <c r="K14" s="113">
        <f t="shared" si="8"/>
        <v>46060</v>
      </c>
      <c r="L14" s="112" t="str">
        <f t="shared" si="1"/>
        <v>Sat</v>
      </c>
      <c r="M14" s="252">
        <f t="shared" si="6"/>
        <v>1437899.23</v>
      </c>
      <c r="N14" s="254">
        <v>1438070.81</v>
      </c>
      <c r="O14" s="110">
        <f t="shared" si="2"/>
        <v>171.58000000007451</v>
      </c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</row>
    <row r="15" spans="2:850">
      <c r="B15" s="113">
        <f t="shared" si="9"/>
        <v>46061</v>
      </c>
      <c r="C15" s="112" t="str">
        <f t="shared" si="0"/>
        <v>Sun</v>
      </c>
      <c r="D15" s="249">
        <f t="shared" si="3"/>
        <v>284598.40000000002</v>
      </c>
      <c r="E15" s="249">
        <v>284631.5</v>
      </c>
      <c r="F15" s="110">
        <f t="shared" si="4"/>
        <v>33.099999999976717</v>
      </c>
      <c r="G15" s="252">
        <f t="shared" si="5"/>
        <v>1330752.6000000001</v>
      </c>
      <c r="H15" s="251">
        <v>1330971.8</v>
      </c>
      <c r="I15" s="110">
        <f t="shared" si="7"/>
        <v>219.19999999995343</v>
      </c>
      <c r="K15" s="113">
        <f t="shared" si="8"/>
        <v>46061</v>
      </c>
      <c r="L15" s="112" t="str">
        <f t="shared" si="1"/>
        <v>Sun</v>
      </c>
      <c r="M15" s="252">
        <f t="shared" si="6"/>
        <v>1438070.81</v>
      </c>
      <c r="N15" s="254">
        <v>1438130.8</v>
      </c>
      <c r="O15" s="110">
        <f t="shared" si="2"/>
        <v>59.989999999990687</v>
      </c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</row>
    <row r="16" spans="2:850">
      <c r="B16" s="113">
        <f t="shared" si="9"/>
        <v>46062</v>
      </c>
      <c r="C16" s="112" t="str">
        <f t="shared" si="0"/>
        <v>Mon</v>
      </c>
      <c r="D16" s="249">
        <f t="shared" si="3"/>
        <v>284631.5</v>
      </c>
      <c r="E16" s="249">
        <v>284712.5</v>
      </c>
      <c r="F16" s="110">
        <f t="shared" si="4"/>
        <v>81</v>
      </c>
      <c r="G16" s="252">
        <f t="shared" si="5"/>
        <v>1330971.8</v>
      </c>
      <c r="H16" s="251">
        <v>1331525.3</v>
      </c>
      <c r="I16" s="110">
        <f>H16-G16</f>
        <v>553.5</v>
      </c>
      <c r="K16" s="113">
        <f t="shared" si="8"/>
        <v>46062</v>
      </c>
      <c r="L16" s="112" t="str">
        <f t="shared" si="1"/>
        <v>Mon</v>
      </c>
      <c r="M16" s="252">
        <f t="shared" si="6"/>
        <v>1438130.8</v>
      </c>
      <c r="N16" s="254">
        <v>1444832.14</v>
      </c>
      <c r="O16" s="110">
        <f t="shared" si="2"/>
        <v>6701.339999999851</v>
      </c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</row>
    <row r="17" spans="2:850">
      <c r="B17" s="113">
        <f t="shared" si="9"/>
        <v>46063</v>
      </c>
      <c r="C17" s="112" t="str">
        <f t="shared" si="0"/>
        <v>Tue</v>
      </c>
      <c r="D17" s="249">
        <f t="shared" si="3"/>
        <v>284712.5</v>
      </c>
      <c r="E17" s="249">
        <v>284776.09999999998</v>
      </c>
      <c r="F17" s="110">
        <f>E17-D17</f>
        <v>63.599999999976717</v>
      </c>
      <c r="G17" s="252">
        <f t="shared" si="5"/>
        <v>1331525.3</v>
      </c>
      <c r="H17" s="251">
        <v>1332065.3</v>
      </c>
      <c r="I17" s="110">
        <f t="shared" si="7"/>
        <v>540</v>
      </c>
      <c r="K17" s="113">
        <f t="shared" si="8"/>
        <v>46063</v>
      </c>
      <c r="L17" s="112" t="str">
        <f t="shared" si="1"/>
        <v>Tue</v>
      </c>
      <c r="M17" s="252">
        <f t="shared" si="6"/>
        <v>1444832.14</v>
      </c>
      <c r="N17" s="254">
        <v>1449574.97</v>
      </c>
      <c r="O17" s="110">
        <f t="shared" si="2"/>
        <v>4742.8300000000745</v>
      </c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</row>
    <row r="18" spans="2:850">
      <c r="B18" s="113">
        <f t="shared" si="9"/>
        <v>46064</v>
      </c>
      <c r="C18" s="112" t="str">
        <f t="shared" si="0"/>
        <v>Wed</v>
      </c>
      <c r="D18" s="249">
        <f t="shared" si="3"/>
        <v>284776.09999999998</v>
      </c>
      <c r="E18" s="249">
        <v>284852</v>
      </c>
      <c r="F18" s="110">
        <f t="shared" si="4"/>
        <v>75.900000000023283</v>
      </c>
      <c r="G18" s="252">
        <f t="shared" si="5"/>
        <v>1332065.3</v>
      </c>
      <c r="H18" s="251">
        <v>1332629.3</v>
      </c>
      <c r="I18" s="110">
        <f t="shared" si="7"/>
        <v>564</v>
      </c>
      <c r="K18" s="113">
        <f t="shared" si="8"/>
        <v>46064</v>
      </c>
      <c r="L18" s="112" t="str">
        <f t="shared" si="1"/>
        <v>Wed</v>
      </c>
      <c r="M18" s="252">
        <f t="shared" si="6"/>
        <v>1449574.97</v>
      </c>
      <c r="N18" s="254">
        <v>1454891.16</v>
      </c>
      <c r="O18" s="110">
        <f t="shared" si="2"/>
        <v>5316.1899999999441</v>
      </c>
      <c r="Q18" s="4"/>
      <c r="AFB18" s="6"/>
      <c r="AFC18" s="6"/>
      <c r="AFD18" s="6"/>
      <c r="AFE18" s="6"/>
      <c r="AFF18" s="6"/>
      <c r="AFG18" s="6"/>
      <c r="AFH18" s="6"/>
      <c r="AFI18" s="6"/>
      <c r="AFJ18" s="6"/>
      <c r="AFK18" s="6"/>
      <c r="AFL18" s="6"/>
      <c r="AFM18" s="6"/>
      <c r="AFN18" s="6"/>
      <c r="AFO18" s="6"/>
      <c r="AFP18" s="6"/>
      <c r="AFQ18" s="6"/>
      <c r="AFR18" s="6"/>
    </row>
    <row r="19" spans="2:850">
      <c r="B19" s="113">
        <f t="shared" si="9"/>
        <v>46065</v>
      </c>
      <c r="C19" s="112" t="str">
        <f t="shared" si="0"/>
        <v>Thu</v>
      </c>
      <c r="D19" s="249">
        <f t="shared" si="3"/>
        <v>284852</v>
      </c>
      <c r="E19" s="249">
        <v>284922.5</v>
      </c>
      <c r="F19" s="110">
        <f t="shared" si="4"/>
        <v>70.5</v>
      </c>
      <c r="G19" s="252">
        <f t="shared" si="5"/>
        <v>1332629.3</v>
      </c>
      <c r="H19" s="251">
        <v>1333201.2</v>
      </c>
      <c r="I19" s="110">
        <f t="shared" si="7"/>
        <v>571.89999999990687</v>
      </c>
      <c r="K19" s="113">
        <f t="shared" si="8"/>
        <v>46065</v>
      </c>
      <c r="L19" s="112" t="str">
        <f t="shared" si="1"/>
        <v>Thu</v>
      </c>
      <c r="M19" s="252">
        <f t="shared" si="6"/>
        <v>1454891.16</v>
      </c>
      <c r="N19" s="254">
        <v>1458490.3</v>
      </c>
      <c r="O19" s="110">
        <f t="shared" si="2"/>
        <v>3599.1400000001304</v>
      </c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</row>
    <row r="20" spans="2:850">
      <c r="B20" s="113">
        <f t="shared" si="9"/>
        <v>46066</v>
      </c>
      <c r="C20" s="112" t="str">
        <f t="shared" si="0"/>
        <v>Fri</v>
      </c>
      <c r="D20" s="249">
        <f t="shared" si="3"/>
        <v>284922.5</v>
      </c>
      <c r="E20" s="249">
        <v>284991</v>
      </c>
      <c r="F20" s="110">
        <f t="shared" si="4"/>
        <v>68.5</v>
      </c>
      <c r="G20" s="252">
        <f t="shared" si="5"/>
        <v>1333201.2</v>
      </c>
      <c r="H20" s="251">
        <v>1333741.3</v>
      </c>
      <c r="I20" s="110">
        <f t="shared" si="7"/>
        <v>540.10000000009313</v>
      </c>
      <c r="K20" s="113">
        <f t="shared" si="8"/>
        <v>46066</v>
      </c>
      <c r="L20" s="112" t="str">
        <f t="shared" si="1"/>
        <v>Fri</v>
      </c>
      <c r="M20" s="252">
        <f t="shared" si="6"/>
        <v>1458490.3</v>
      </c>
      <c r="N20" s="254">
        <v>1460190.42</v>
      </c>
      <c r="O20" s="110">
        <f t="shared" si="2"/>
        <v>1700.1199999998789</v>
      </c>
      <c r="AFC20" s="6"/>
      <c r="AFD20" s="6"/>
      <c r="AFE20" s="6"/>
      <c r="AFF20" s="6"/>
      <c r="AFG20" s="6"/>
      <c r="AFH20" s="6"/>
      <c r="AFI20" s="6"/>
      <c r="AFJ20" s="6"/>
      <c r="AFK20" s="6"/>
      <c r="AFL20" s="6"/>
      <c r="AFM20" s="6"/>
      <c r="AFN20" s="6"/>
      <c r="AFO20" s="6"/>
      <c r="AFP20" s="6"/>
      <c r="AFQ20" s="6"/>
      <c r="AFR20" s="6"/>
    </row>
    <row r="21" spans="2:850">
      <c r="B21" s="113">
        <f t="shared" si="9"/>
        <v>46067</v>
      </c>
      <c r="C21" s="112" t="str">
        <f t="shared" si="0"/>
        <v>Sat</v>
      </c>
      <c r="D21" s="249">
        <f t="shared" si="3"/>
        <v>284991</v>
      </c>
      <c r="E21" s="249">
        <v>285032.7</v>
      </c>
      <c r="F21" s="110">
        <f t="shared" si="4"/>
        <v>41.700000000011642</v>
      </c>
      <c r="G21" s="252">
        <f t="shared" si="5"/>
        <v>1333741.3</v>
      </c>
      <c r="H21" s="251">
        <v>1334045.7</v>
      </c>
      <c r="I21" s="110">
        <f t="shared" si="7"/>
        <v>304.39999999990687</v>
      </c>
      <c r="K21" s="113">
        <f t="shared" si="8"/>
        <v>46067</v>
      </c>
      <c r="L21" s="112" t="str">
        <f t="shared" si="1"/>
        <v>Sat</v>
      </c>
      <c r="M21" s="252">
        <f t="shared" si="6"/>
        <v>1460190.42</v>
      </c>
      <c r="N21" s="254">
        <v>1460240.51</v>
      </c>
      <c r="O21" s="110">
        <f t="shared" si="2"/>
        <v>50.090000000083819</v>
      </c>
    </row>
    <row r="22" spans="2:850">
      <c r="B22" s="113">
        <f t="shared" si="9"/>
        <v>46068</v>
      </c>
      <c r="C22" s="112" t="str">
        <f t="shared" si="0"/>
        <v>Sun</v>
      </c>
      <c r="D22" s="249">
        <f t="shared" si="3"/>
        <v>285032.7</v>
      </c>
      <c r="E22" s="249">
        <v>285081.09999999998</v>
      </c>
      <c r="F22" s="110">
        <f t="shared" si="4"/>
        <v>48.399999999965075</v>
      </c>
      <c r="G22" s="252">
        <f t="shared" si="5"/>
        <v>1334045.7</v>
      </c>
      <c r="H22" s="251">
        <v>1334342</v>
      </c>
      <c r="I22" s="110">
        <f t="shared" si="7"/>
        <v>296.30000000004657</v>
      </c>
      <c r="K22" s="113">
        <f t="shared" si="8"/>
        <v>46068</v>
      </c>
      <c r="L22" s="112" t="str">
        <f t="shared" si="1"/>
        <v>Sun</v>
      </c>
      <c r="M22" s="252">
        <f t="shared" si="6"/>
        <v>1460240.51</v>
      </c>
      <c r="N22" s="254">
        <v>1460293.69</v>
      </c>
      <c r="O22" s="110">
        <f t="shared" si="2"/>
        <v>53.179999999934807</v>
      </c>
    </row>
    <row r="23" spans="2:850">
      <c r="B23" s="113">
        <f t="shared" si="9"/>
        <v>46069</v>
      </c>
      <c r="C23" s="112" t="str">
        <f t="shared" si="0"/>
        <v>Mon</v>
      </c>
      <c r="D23" s="249">
        <f t="shared" si="3"/>
        <v>285081.09999999998</v>
      </c>
      <c r="E23" s="249">
        <v>285160.5</v>
      </c>
      <c r="F23" s="110">
        <f t="shared" si="4"/>
        <v>79.400000000023283</v>
      </c>
      <c r="G23" s="252">
        <f t="shared" si="5"/>
        <v>1334342</v>
      </c>
      <c r="H23" s="251">
        <v>1334918.5</v>
      </c>
      <c r="I23" s="110">
        <f t="shared" si="7"/>
        <v>576.5</v>
      </c>
      <c r="K23" s="113">
        <f t="shared" si="8"/>
        <v>46069</v>
      </c>
      <c r="L23" s="112" t="str">
        <f t="shared" si="1"/>
        <v>Mon</v>
      </c>
      <c r="M23" s="252">
        <f t="shared" si="6"/>
        <v>1460293.69</v>
      </c>
      <c r="N23" s="254">
        <v>1464270.64</v>
      </c>
      <c r="O23" s="110">
        <f t="shared" si="2"/>
        <v>3976.9499999999534</v>
      </c>
    </row>
    <row r="24" spans="2:850">
      <c r="B24" s="113">
        <f t="shared" si="9"/>
        <v>46070</v>
      </c>
      <c r="C24" s="112" t="str">
        <f t="shared" si="0"/>
        <v>Tue</v>
      </c>
      <c r="D24" s="249">
        <f t="shared" si="3"/>
        <v>285160.5</v>
      </c>
      <c r="E24" s="249">
        <v>285239.5</v>
      </c>
      <c r="F24" s="110">
        <f t="shared" si="4"/>
        <v>79</v>
      </c>
      <c r="G24" s="252">
        <f t="shared" si="5"/>
        <v>1334918.5</v>
      </c>
      <c r="H24" s="251">
        <v>1335473.7</v>
      </c>
      <c r="I24" s="110">
        <f t="shared" si="7"/>
        <v>555.19999999995343</v>
      </c>
      <c r="K24" s="113">
        <f t="shared" si="8"/>
        <v>46070</v>
      </c>
      <c r="L24" s="112" t="str">
        <f t="shared" si="1"/>
        <v>Tue</v>
      </c>
      <c r="M24" s="252">
        <f t="shared" si="6"/>
        <v>1464270.64</v>
      </c>
      <c r="N24" s="254">
        <v>1468316.3</v>
      </c>
      <c r="O24" s="110">
        <f t="shared" si="2"/>
        <v>4045.660000000149</v>
      </c>
    </row>
    <row r="25" spans="2:850">
      <c r="B25" s="113">
        <f t="shared" si="9"/>
        <v>46071</v>
      </c>
      <c r="C25" s="112" t="str">
        <f t="shared" si="0"/>
        <v>Wed</v>
      </c>
      <c r="D25" s="249">
        <f t="shared" si="3"/>
        <v>285239.5</v>
      </c>
      <c r="E25" s="249"/>
      <c r="F25" s="110">
        <f t="shared" si="4"/>
        <v>-285239.5</v>
      </c>
      <c r="G25" s="252">
        <f t="shared" si="5"/>
        <v>1335473.7</v>
      </c>
      <c r="H25" s="251"/>
      <c r="I25" s="110">
        <f t="shared" si="7"/>
        <v>-1335473.7</v>
      </c>
      <c r="K25" s="113">
        <f t="shared" si="8"/>
        <v>46071</v>
      </c>
      <c r="L25" s="112" t="str">
        <f t="shared" si="1"/>
        <v>Wed</v>
      </c>
      <c r="M25" s="252">
        <f t="shared" si="6"/>
        <v>1468316.3</v>
      </c>
      <c r="N25" s="254"/>
      <c r="O25" s="110">
        <f t="shared" si="2"/>
        <v>-1468316.3</v>
      </c>
    </row>
    <row r="26" spans="2:850">
      <c r="B26" s="113">
        <f t="shared" si="9"/>
        <v>46072</v>
      </c>
      <c r="C26" s="112" t="str">
        <f t="shared" si="0"/>
        <v>Thu</v>
      </c>
      <c r="D26" s="249">
        <f t="shared" si="3"/>
        <v>0</v>
      </c>
      <c r="E26" s="249"/>
      <c r="F26" s="110">
        <f t="shared" si="4"/>
        <v>0</v>
      </c>
      <c r="G26" s="252">
        <f t="shared" si="5"/>
        <v>0</v>
      </c>
      <c r="H26" s="251"/>
      <c r="I26" s="110">
        <f t="shared" si="7"/>
        <v>0</v>
      </c>
      <c r="K26" s="113">
        <f t="shared" si="8"/>
        <v>46072</v>
      </c>
      <c r="L26" s="112" t="str">
        <f t="shared" si="1"/>
        <v>Thu</v>
      </c>
      <c r="M26" s="252">
        <f t="shared" si="6"/>
        <v>0</v>
      </c>
      <c r="N26" s="254"/>
      <c r="O26" s="110">
        <f t="shared" si="2"/>
        <v>0</v>
      </c>
    </row>
    <row r="27" spans="2:850">
      <c r="B27" s="113">
        <f t="shared" si="9"/>
        <v>46073</v>
      </c>
      <c r="C27" s="112" t="str">
        <f t="shared" si="0"/>
        <v>Fri</v>
      </c>
      <c r="D27" s="249">
        <f t="shared" si="3"/>
        <v>0</v>
      </c>
      <c r="E27" s="249"/>
      <c r="F27" s="110">
        <f>E27-D27</f>
        <v>0</v>
      </c>
      <c r="G27" s="252">
        <f t="shared" si="5"/>
        <v>0</v>
      </c>
      <c r="H27" s="251"/>
      <c r="I27" s="110">
        <f t="shared" si="7"/>
        <v>0</v>
      </c>
      <c r="K27" s="113">
        <f t="shared" si="8"/>
        <v>46073</v>
      </c>
      <c r="L27" s="112" t="str">
        <f t="shared" si="1"/>
        <v>Fri</v>
      </c>
      <c r="M27" s="252">
        <f t="shared" si="6"/>
        <v>0</v>
      </c>
      <c r="N27" s="254"/>
      <c r="O27" s="110">
        <f t="shared" si="2"/>
        <v>0</v>
      </c>
    </row>
    <row r="28" spans="2:850">
      <c r="B28" s="113">
        <f t="shared" si="9"/>
        <v>46074</v>
      </c>
      <c r="C28" s="112" t="str">
        <f t="shared" si="0"/>
        <v>Sat</v>
      </c>
      <c r="D28" s="249">
        <f t="shared" si="3"/>
        <v>0</v>
      </c>
      <c r="E28" s="249"/>
      <c r="F28" s="110">
        <f t="shared" ref="F28:F38" si="10">E28-D28</f>
        <v>0</v>
      </c>
      <c r="G28" s="252">
        <f t="shared" si="5"/>
        <v>0</v>
      </c>
      <c r="H28" s="251"/>
      <c r="I28" s="110">
        <f t="shared" si="7"/>
        <v>0</v>
      </c>
      <c r="K28" s="113">
        <f t="shared" si="8"/>
        <v>46074</v>
      </c>
      <c r="L28" s="112" t="str">
        <f t="shared" si="1"/>
        <v>Sat</v>
      </c>
      <c r="M28" s="252">
        <f t="shared" si="6"/>
        <v>0</v>
      </c>
      <c r="N28" s="254"/>
      <c r="O28" s="110">
        <f t="shared" si="2"/>
        <v>0</v>
      </c>
    </row>
    <row r="29" spans="2:850">
      <c r="B29" s="113">
        <f t="shared" si="9"/>
        <v>46075</v>
      </c>
      <c r="C29" s="112" t="str">
        <f t="shared" si="0"/>
        <v>Sun</v>
      </c>
      <c r="D29" s="249">
        <f t="shared" si="3"/>
        <v>0</v>
      </c>
      <c r="E29" s="249"/>
      <c r="F29" s="110">
        <f>E29-D29</f>
        <v>0</v>
      </c>
      <c r="G29" s="252">
        <f t="shared" si="5"/>
        <v>0</v>
      </c>
      <c r="H29" s="251"/>
      <c r="I29" s="110">
        <f t="shared" si="7"/>
        <v>0</v>
      </c>
      <c r="K29" s="113">
        <f t="shared" si="8"/>
        <v>46075</v>
      </c>
      <c r="L29" s="112" t="str">
        <f t="shared" si="1"/>
        <v>Sun</v>
      </c>
      <c r="M29" s="252">
        <f t="shared" si="6"/>
        <v>0</v>
      </c>
      <c r="N29" s="254"/>
      <c r="O29" s="110">
        <f t="shared" si="2"/>
        <v>0</v>
      </c>
    </row>
    <row r="30" spans="2:850">
      <c r="B30" s="113">
        <f t="shared" si="9"/>
        <v>46076</v>
      </c>
      <c r="C30" s="112" t="str">
        <f t="shared" si="0"/>
        <v>Mon</v>
      </c>
      <c r="D30" s="249">
        <f t="shared" si="3"/>
        <v>0</v>
      </c>
      <c r="E30" s="249"/>
      <c r="F30" s="110">
        <f t="shared" si="10"/>
        <v>0</v>
      </c>
      <c r="G30" s="252">
        <f t="shared" si="5"/>
        <v>0</v>
      </c>
      <c r="H30" s="251"/>
      <c r="I30" s="110">
        <f t="shared" si="7"/>
        <v>0</v>
      </c>
      <c r="K30" s="113">
        <f t="shared" si="8"/>
        <v>46076</v>
      </c>
      <c r="L30" s="112" t="str">
        <f t="shared" si="1"/>
        <v>Mon</v>
      </c>
      <c r="M30" s="252">
        <f t="shared" si="6"/>
        <v>0</v>
      </c>
      <c r="N30" s="254"/>
      <c r="O30" s="110">
        <f t="shared" si="2"/>
        <v>0</v>
      </c>
    </row>
    <row r="31" spans="2:850">
      <c r="B31" s="113">
        <f t="shared" si="9"/>
        <v>46077</v>
      </c>
      <c r="C31" s="112" t="str">
        <f t="shared" si="0"/>
        <v>Tue</v>
      </c>
      <c r="D31" s="249">
        <f t="shared" si="3"/>
        <v>0</v>
      </c>
      <c r="E31" s="249"/>
      <c r="F31" s="110">
        <f t="shared" si="10"/>
        <v>0</v>
      </c>
      <c r="G31" s="252">
        <f t="shared" si="5"/>
        <v>0</v>
      </c>
      <c r="H31" s="251"/>
      <c r="I31" s="110">
        <f t="shared" si="7"/>
        <v>0</v>
      </c>
      <c r="K31" s="113">
        <f t="shared" si="8"/>
        <v>46077</v>
      </c>
      <c r="L31" s="112" t="str">
        <f t="shared" si="1"/>
        <v>Tue</v>
      </c>
      <c r="M31" s="252">
        <f t="shared" si="6"/>
        <v>0</v>
      </c>
      <c r="N31" s="254"/>
      <c r="O31" s="110">
        <f t="shared" si="2"/>
        <v>0</v>
      </c>
    </row>
    <row r="32" spans="2:850">
      <c r="B32" s="113">
        <f t="shared" si="9"/>
        <v>46078</v>
      </c>
      <c r="C32" s="112" t="str">
        <f t="shared" si="0"/>
        <v>Wed</v>
      </c>
      <c r="D32" s="249">
        <f t="shared" si="3"/>
        <v>0</v>
      </c>
      <c r="E32" s="249"/>
      <c r="F32" s="110">
        <f t="shared" si="10"/>
        <v>0</v>
      </c>
      <c r="G32" s="252">
        <f t="shared" si="5"/>
        <v>0</v>
      </c>
      <c r="H32" s="251"/>
      <c r="I32" s="110">
        <f t="shared" si="7"/>
        <v>0</v>
      </c>
      <c r="K32" s="113">
        <f t="shared" si="8"/>
        <v>46078</v>
      </c>
      <c r="L32" s="112" t="str">
        <f t="shared" si="1"/>
        <v>Wed</v>
      </c>
      <c r="M32" s="252">
        <f t="shared" si="6"/>
        <v>0</v>
      </c>
      <c r="N32" s="254"/>
      <c r="O32" s="110">
        <f t="shared" si="2"/>
        <v>0</v>
      </c>
    </row>
    <row r="33" spans="2:15">
      <c r="B33" s="113">
        <f t="shared" si="9"/>
        <v>46079</v>
      </c>
      <c r="C33" s="112" t="str">
        <f t="shared" si="0"/>
        <v>Thu</v>
      </c>
      <c r="D33" s="249">
        <f t="shared" si="3"/>
        <v>0</v>
      </c>
      <c r="E33" s="249"/>
      <c r="F33" s="110">
        <f t="shared" si="10"/>
        <v>0</v>
      </c>
      <c r="G33" s="252">
        <f t="shared" si="5"/>
        <v>0</v>
      </c>
      <c r="H33" s="251"/>
      <c r="I33" s="110">
        <f t="shared" si="7"/>
        <v>0</v>
      </c>
      <c r="K33" s="113">
        <f t="shared" si="8"/>
        <v>46079</v>
      </c>
      <c r="L33" s="112" t="str">
        <f t="shared" si="1"/>
        <v>Thu</v>
      </c>
      <c r="M33" s="252">
        <f t="shared" si="6"/>
        <v>0</v>
      </c>
      <c r="N33" s="254"/>
      <c r="O33" s="110">
        <f t="shared" si="2"/>
        <v>0</v>
      </c>
    </row>
    <row r="34" spans="2:15">
      <c r="B34" s="113">
        <f t="shared" si="9"/>
        <v>46080</v>
      </c>
      <c r="C34" s="112" t="str">
        <f t="shared" si="0"/>
        <v>Fri</v>
      </c>
      <c r="D34" s="249">
        <f t="shared" si="3"/>
        <v>0</v>
      </c>
      <c r="E34" s="249"/>
      <c r="F34" s="110">
        <f t="shared" si="10"/>
        <v>0</v>
      </c>
      <c r="G34" s="252">
        <f t="shared" si="5"/>
        <v>0</v>
      </c>
      <c r="H34" s="251"/>
      <c r="I34" s="110">
        <f t="shared" si="7"/>
        <v>0</v>
      </c>
      <c r="K34" s="113">
        <f t="shared" si="8"/>
        <v>46080</v>
      </c>
      <c r="L34" s="112" t="str">
        <f t="shared" si="1"/>
        <v>Fri</v>
      </c>
      <c r="M34" s="252">
        <f t="shared" si="6"/>
        <v>0</v>
      </c>
      <c r="N34" s="254"/>
      <c r="O34" s="110">
        <f t="shared" si="2"/>
        <v>0</v>
      </c>
    </row>
    <row r="35" spans="2:15">
      <c r="B35" s="113">
        <f t="shared" si="9"/>
        <v>46081</v>
      </c>
      <c r="C35" s="112" t="str">
        <f t="shared" si="0"/>
        <v>Sat</v>
      </c>
      <c r="D35" s="249">
        <f t="shared" si="3"/>
        <v>0</v>
      </c>
      <c r="E35" s="249"/>
      <c r="F35" s="110">
        <f t="shared" si="10"/>
        <v>0</v>
      </c>
      <c r="G35" s="252">
        <f t="shared" si="5"/>
        <v>0</v>
      </c>
      <c r="H35" s="251"/>
      <c r="I35" s="110">
        <f t="shared" si="7"/>
        <v>0</v>
      </c>
      <c r="K35" s="113">
        <f t="shared" si="8"/>
        <v>46081</v>
      </c>
      <c r="L35" s="112" t="str">
        <f t="shared" si="1"/>
        <v>Sat</v>
      </c>
      <c r="M35" s="252">
        <f t="shared" si="6"/>
        <v>0</v>
      </c>
      <c r="N35" s="254"/>
      <c r="O35" s="110">
        <f t="shared" si="2"/>
        <v>0</v>
      </c>
    </row>
    <row r="36" spans="2:15">
      <c r="B36" s="113">
        <f t="shared" si="9"/>
        <v>46082</v>
      </c>
      <c r="C36" s="112" t="str">
        <f t="shared" ref="C36:C38" si="11">TEXT(B36,"DDD")</f>
        <v>Sun</v>
      </c>
      <c r="D36" s="249">
        <f t="shared" si="3"/>
        <v>0</v>
      </c>
      <c r="E36" s="249"/>
      <c r="F36" s="110">
        <f t="shared" si="10"/>
        <v>0</v>
      </c>
      <c r="G36" s="252">
        <f t="shared" si="5"/>
        <v>0</v>
      </c>
      <c r="H36" s="249"/>
      <c r="I36" s="110">
        <f t="shared" si="7"/>
        <v>0</v>
      </c>
      <c r="K36" s="113">
        <f t="shared" si="8"/>
        <v>46082</v>
      </c>
      <c r="L36" s="112" t="str">
        <f t="shared" ref="L36:L38" si="12">TEXT(K36,"DDD")</f>
        <v>Sun</v>
      </c>
      <c r="M36" s="252">
        <f t="shared" si="6"/>
        <v>0</v>
      </c>
      <c r="N36" s="254"/>
      <c r="O36" s="110">
        <f t="shared" si="2"/>
        <v>0</v>
      </c>
    </row>
    <row r="37" spans="2:15">
      <c r="B37" s="113">
        <f t="shared" si="9"/>
        <v>46083</v>
      </c>
      <c r="C37" s="112" t="str">
        <f t="shared" si="11"/>
        <v>Mon</v>
      </c>
      <c r="D37" s="249">
        <f t="shared" si="3"/>
        <v>0</v>
      </c>
      <c r="E37" s="249"/>
      <c r="F37" s="110">
        <f t="shared" si="10"/>
        <v>0</v>
      </c>
      <c r="G37" s="252">
        <f t="shared" si="5"/>
        <v>0</v>
      </c>
      <c r="H37" s="249"/>
      <c r="I37" s="110">
        <f t="shared" si="7"/>
        <v>0</v>
      </c>
      <c r="K37" s="113">
        <f t="shared" si="8"/>
        <v>46083</v>
      </c>
      <c r="L37" s="112" t="str">
        <f t="shared" si="12"/>
        <v>Mon</v>
      </c>
      <c r="M37" s="252">
        <f t="shared" si="6"/>
        <v>0</v>
      </c>
      <c r="N37" s="254"/>
      <c r="O37" s="110">
        <f>N37-M37</f>
        <v>0</v>
      </c>
    </row>
    <row r="38" spans="2:15" ht="15.75" thickBot="1">
      <c r="B38" s="114">
        <f t="shared" si="9"/>
        <v>46084</v>
      </c>
      <c r="C38" s="115" t="str">
        <f t="shared" si="11"/>
        <v>Tue</v>
      </c>
      <c r="D38" s="249">
        <f t="shared" si="3"/>
        <v>0</v>
      </c>
      <c r="E38" s="250"/>
      <c r="F38" s="111">
        <f t="shared" si="10"/>
        <v>0</v>
      </c>
      <c r="G38" s="252">
        <f t="shared" si="5"/>
        <v>0</v>
      </c>
      <c r="H38" s="253"/>
      <c r="I38" s="111">
        <f t="shared" si="7"/>
        <v>0</v>
      </c>
      <c r="K38" s="114">
        <f t="shared" si="8"/>
        <v>46084</v>
      </c>
      <c r="L38" s="115" t="str">
        <f t="shared" si="12"/>
        <v>Tue</v>
      </c>
      <c r="M38" s="252">
        <f t="shared" si="6"/>
        <v>0</v>
      </c>
      <c r="N38" s="255"/>
      <c r="O38" s="111">
        <f t="shared" si="2"/>
        <v>0</v>
      </c>
    </row>
    <row r="39" spans="2:15" ht="35.25" customHeight="1" thickBot="1">
      <c r="B39" s="95" t="s">
        <v>111</v>
      </c>
      <c r="C39" s="96"/>
      <c r="D39" s="97"/>
      <c r="E39" s="97"/>
      <c r="F39" s="101">
        <f>SUMIF(F8:F38, "&gt;=0")</f>
        <v>1078</v>
      </c>
      <c r="G39" s="98"/>
      <c r="H39" s="98"/>
      <c r="I39" s="101">
        <f>SUMIF(I8:I38, "&gt;=0")</f>
        <v>7947.5999999998603</v>
      </c>
      <c r="K39" s="99"/>
      <c r="L39" s="97"/>
      <c r="M39" s="100"/>
      <c r="N39" s="100"/>
      <c r="O39" s="101">
        <f>SUMIF(O8:O38, "&gt;=0")</f>
        <v>42553.860000000102</v>
      </c>
    </row>
    <row r="40" spans="2:15"/>
    <row r="41" spans="2:15"/>
  </sheetData>
  <sheetProtection algorithmName="SHA-512" hashValue="1OVkC8qFdLbP2emHOpyueUVWud6ODBBnZbXNCNGq6+DvmhPo3HSJLBA4rBd8UNf8UZjWTbptUNhiBMiPPk5u3A==" saltValue="7aYfV9FBRYLCZHVsC48K5Q==" spinCount="100000" sheet="1" objects="1" scenarios="1"/>
  <customSheetViews>
    <customSheetView guid="{5E113600-004F-4409-A088-DFECFF9BC96A}" showGridLines="0" hiddenRows="1" hiddenColumns="1">
      <pane xSplit="3" ySplit="6" topLeftCell="D24" activePane="bottomRight" state="frozen"/>
      <selection pane="bottomRight" activeCell="N36" sqref="N36"/>
      <pageMargins left="0.7" right="0.7" top="0.75" bottom="0.75" header="0.3" footer="0.3"/>
      <pageSetup orientation="landscape" r:id="rId1"/>
    </customSheetView>
    <customSheetView guid="{1F97382E-80B0-473D-874E-BD5E60D01A4B}" showGridLines="0" hiddenRows="1" hiddenColumns="1">
      <pane xSplit="3" ySplit="6" topLeftCell="D24" activePane="bottomRight" state="frozen"/>
      <selection pane="bottomRight" activeCell="N36" sqref="N36"/>
      <pageMargins left="0.7" right="0.7" top="0.75" bottom="0.75" header="0.3" footer="0.3"/>
      <pageSetup orientation="landscape" r:id="rId2"/>
    </customSheetView>
    <customSheetView guid="{7663FDEA-AE2F-416B-8123-1D493B6639C0}" showGridLines="0" hiddenRows="1" hiddenColumns="1">
      <pane xSplit="3" ySplit="6" topLeftCell="D24" activePane="bottomRight" state="frozen"/>
      <selection pane="bottomRight" activeCell="N36" sqref="N36"/>
      <pageMargins left="0.7" right="0.7" top="0.75" bottom="0.75" header="0.3" footer="0.3"/>
      <pageSetup orientation="landscape" r:id="rId3"/>
    </customSheetView>
    <customSheetView guid="{C287C8AD-6E2E-4D5F-930B-C18EF9030790}" showGridLines="0" hiddenRows="1" hiddenColumns="1">
      <pane xSplit="3" ySplit="6" topLeftCell="D24" activePane="bottomRight" state="frozen"/>
      <selection pane="bottomRight" activeCell="N36" sqref="N36"/>
      <pageMargins left="0.7" right="0.7" top="0.75" bottom="0.75" header="0.3" footer="0.3"/>
      <pageSetup orientation="landscape" r:id="rId4"/>
    </customSheetView>
  </customSheetViews>
  <mergeCells count="6">
    <mergeCell ref="B2:O2"/>
    <mergeCell ref="D3:I3"/>
    <mergeCell ref="M3:O3"/>
    <mergeCell ref="G4:I4"/>
    <mergeCell ref="D4:F4"/>
    <mergeCell ref="M4:O4"/>
  </mergeCells>
  <conditionalFormatting sqref="F7:F38">
    <cfRule type="cellIs" dxfId="1323" priority="2" operator="lessThan">
      <formula>0</formula>
    </cfRule>
  </conditionalFormatting>
  <conditionalFormatting sqref="O7:O38">
    <cfRule type="cellIs" dxfId="1322" priority="1" operator="lessThan">
      <formula>0</formula>
    </cfRule>
  </conditionalFormatting>
  <pageMargins left="0.7" right="0.7" top="0.75" bottom="0.75" header="0.3" footer="0.3"/>
  <pageSetup scale="73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43"/>
  <sheetViews>
    <sheetView showGridLines="0" workbookViewId="0">
      <pane xSplit="2" ySplit="5" topLeftCell="Y6" activePane="bottomRight" state="frozen"/>
      <selection pane="topRight" activeCell="C1" sqref="C1"/>
      <selection pane="bottomLeft" activeCell="A5" sqref="A5"/>
      <selection pane="bottomRight" activeCell="AH17" sqref="AH17"/>
    </sheetView>
  </sheetViews>
  <sheetFormatPr defaultColWidth="0" defaultRowHeight="15" zeroHeight="1"/>
  <cols>
    <col min="1" max="1" width="1.85546875" style="5" customWidth="1"/>
    <col min="2" max="2" width="10.140625" style="5" customWidth="1"/>
    <col min="3" max="4" width="11.42578125" style="5" bestFit="1" customWidth="1"/>
    <col min="5" max="5" width="10.5703125" style="5" bestFit="1" customWidth="1"/>
    <col min="6" max="6" width="13.42578125" style="5" bestFit="1" customWidth="1"/>
    <col min="7" max="7" width="9.42578125" style="5" bestFit="1" customWidth="1"/>
    <col min="8" max="8" width="9.7109375" style="5" bestFit="1" customWidth="1"/>
    <col min="9" max="9" width="10.5703125" style="5" bestFit="1" customWidth="1"/>
    <col min="10" max="10" width="12.28515625" style="5" bestFit="1" customWidth="1"/>
    <col min="11" max="11" width="2.140625" style="5" customWidth="1"/>
    <col min="12" max="12" width="10.140625" style="5" bestFit="1" customWidth="1"/>
    <col min="13" max="13" width="9.42578125" style="5" bestFit="1" customWidth="1"/>
    <col min="14" max="14" width="13.5703125" style="5" bestFit="1" customWidth="1"/>
    <col min="15" max="15" width="10.5703125" style="5" bestFit="1" customWidth="1"/>
    <col min="16" max="16" width="13.42578125" style="5" bestFit="1" customWidth="1"/>
    <col min="17" max="17" width="9" style="5" bestFit="1" customWidth="1"/>
    <col min="18" max="18" width="9.7109375" style="5" bestFit="1" customWidth="1"/>
    <col min="19" max="19" width="9.7109375" style="5" customWidth="1"/>
    <col min="20" max="20" width="10.5703125" style="5" bestFit="1" customWidth="1"/>
    <col min="21" max="21" width="1.7109375" customWidth="1"/>
    <col min="22" max="22" width="10.140625" bestFit="1" customWidth="1"/>
    <col min="23" max="24" width="15.7109375" style="7" bestFit="1" customWidth="1"/>
    <col min="25" max="25" width="14.7109375" bestFit="1" customWidth="1"/>
    <col min="26" max="26" width="13.7109375" bestFit="1" customWidth="1"/>
    <col min="27" max="27" width="14.7109375" bestFit="1" customWidth="1"/>
    <col min="28" max="28" width="14.42578125" bestFit="1" customWidth="1"/>
    <col min="29" max="29" width="9.140625" customWidth="1"/>
    <col min="30" max="30" width="10.140625" bestFit="1" customWidth="1"/>
    <col min="31" max="31" width="13.5703125" bestFit="1" customWidth="1"/>
    <col min="32" max="32" width="16.5703125" bestFit="1" customWidth="1"/>
    <col min="33" max="33" width="14.42578125" bestFit="1" customWidth="1"/>
    <col min="34" max="35" width="10.42578125" bestFit="1" customWidth="1"/>
    <col min="36" max="36" width="11.28515625" bestFit="1" customWidth="1"/>
    <col min="37" max="38" width="9.140625" customWidth="1"/>
    <col min="39" max="16384" width="9.140625" hidden="1"/>
  </cols>
  <sheetData>
    <row r="1" spans="1:36" ht="15.75" thickBot="1"/>
    <row r="2" spans="1:36" ht="21.75" thickBot="1">
      <c r="A2"/>
      <c r="B2" s="336" t="str">
        <f>Summary!$R$5&amp;" MSEDCL Office Utility MSEB and DG Meter Reading "&amp;TEXT(Summary!R$4,"MMM YY")</f>
        <v>SOC MSEDCL Office Utility MSEB and DG Meter Reading Feb 26</v>
      </c>
      <c r="C2" s="337"/>
      <c r="D2" s="337"/>
      <c r="E2" s="337"/>
      <c r="F2" s="337"/>
      <c r="G2" s="337"/>
      <c r="H2" s="337"/>
      <c r="I2" s="337"/>
      <c r="J2" s="338"/>
      <c r="L2" s="349" t="str">
        <f>Summary!$R$5&amp;" MSEDCL Office Utility MSEB and DG Meter Reading "&amp;TEXT(Summary!R4,"MMM YY")</f>
        <v>SOC MSEDCL Office Utility MSEB and DG Meter Reading Feb 26</v>
      </c>
      <c r="M2" s="350"/>
      <c r="N2" s="350"/>
      <c r="O2" s="350"/>
      <c r="P2" s="350"/>
      <c r="Q2" s="350"/>
      <c r="R2" s="350"/>
      <c r="S2" s="350"/>
      <c r="T2" s="351"/>
      <c r="V2" s="336" t="str">
        <f>Summary!$R$5&amp;" Building Meter Reading "&amp;TEXT(Summary!R4,"MMM YY")</f>
        <v>SOC Building Meter Reading Feb 26</v>
      </c>
      <c r="W2" s="337"/>
      <c r="X2" s="337"/>
      <c r="Y2" s="337"/>
      <c r="Z2" s="337"/>
      <c r="AA2" s="337"/>
      <c r="AB2" s="338"/>
      <c r="AD2" s="346" t="str">
        <f>"A - Wing Chiller Panel "&amp;TEXT(Summary!R4,"MMM YY")</f>
        <v>A - Wing Chiller Panel Feb 26</v>
      </c>
      <c r="AE2" s="347"/>
      <c r="AF2" s="347"/>
      <c r="AG2" s="347"/>
      <c r="AH2" s="347"/>
      <c r="AI2" s="347"/>
      <c r="AJ2" s="348"/>
    </row>
    <row r="3" spans="1:36" s="122" customFormat="1">
      <c r="B3" s="1"/>
      <c r="C3" s="342" t="s">
        <v>200</v>
      </c>
      <c r="D3" s="343"/>
      <c r="E3" s="343"/>
      <c r="F3" s="343"/>
      <c r="G3" s="340" t="s">
        <v>201</v>
      </c>
      <c r="H3" s="341"/>
      <c r="I3" s="341"/>
      <c r="J3" s="341"/>
      <c r="K3" s="1"/>
      <c r="L3" s="1"/>
      <c r="M3" s="342" t="s">
        <v>202</v>
      </c>
      <c r="N3" s="343"/>
      <c r="O3" s="343"/>
      <c r="P3" s="343"/>
      <c r="Q3" s="340" t="s">
        <v>203</v>
      </c>
      <c r="R3" s="341"/>
      <c r="S3" s="341"/>
      <c r="T3" s="341"/>
      <c r="V3" s="132" t="s">
        <v>177</v>
      </c>
      <c r="W3" s="344" t="s">
        <v>217</v>
      </c>
      <c r="X3" s="344"/>
      <c r="Y3" s="344"/>
      <c r="Z3" s="345" t="s">
        <v>216</v>
      </c>
      <c r="AA3" s="345"/>
      <c r="AB3" s="345"/>
      <c r="AE3" s="342" t="s">
        <v>218</v>
      </c>
      <c r="AF3" s="343"/>
      <c r="AG3" s="343"/>
      <c r="AH3" s="340" t="s">
        <v>219</v>
      </c>
      <c r="AI3" s="341"/>
      <c r="AJ3" s="341"/>
    </row>
    <row r="4" spans="1:36" s="122" customFormat="1">
      <c r="B4" s="106" t="s">
        <v>258</v>
      </c>
      <c r="C4" s="108"/>
      <c r="D4" s="109"/>
      <c r="E4" s="109"/>
      <c r="F4" s="106" t="s">
        <v>258</v>
      </c>
      <c r="G4" s="108"/>
      <c r="H4" s="109"/>
      <c r="I4" s="109"/>
      <c r="J4" s="106" t="s">
        <v>258</v>
      </c>
      <c r="K4" s="1"/>
      <c r="L4" s="106" t="s">
        <v>258</v>
      </c>
      <c r="M4" s="108"/>
      <c r="N4" s="109"/>
      <c r="O4" s="109"/>
      <c r="P4" s="106" t="s">
        <v>258</v>
      </c>
      <c r="Q4" s="108"/>
      <c r="R4" s="109"/>
      <c r="S4" s="109"/>
      <c r="T4" s="106" t="s">
        <v>258</v>
      </c>
      <c r="V4" s="106" t="s">
        <v>258</v>
      </c>
      <c r="W4" s="123"/>
      <c r="X4" s="123"/>
      <c r="Y4" s="106" t="s">
        <v>258</v>
      </c>
      <c r="Z4" s="123"/>
      <c r="AA4" s="123"/>
      <c r="AB4" s="106" t="s">
        <v>258</v>
      </c>
      <c r="AD4" s="106" t="s">
        <v>258</v>
      </c>
      <c r="AE4" s="108"/>
      <c r="AF4" s="109"/>
      <c r="AG4" s="106" t="s">
        <v>258</v>
      </c>
      <c r="AH4" s="108"/>
      <c r="AI4" s="109"/>
      <c r="AJ4" s="106" t="s">
        <v>258</v>
      </c>
    </row>
    <row r="5" spans="1:36" s="122" customFormat="1">
      <c r="B5" s="129" t="s">
        <v>177</v>
      </c>
      <c r="C5" s="130" t="s">
        <v>178</v>
      </c>
      <c r="D5" s="130" t="s">
        <v>179</v>
      </c>
      <c r="E5" s="130" t="s">
        <v>181</v>
      </c>
      <c r="F5" s="130" t="s">
        <v>180</v>
      </c>
      <c r="G5" s="130" t="s">
        <v>178</v>
      </c>
      <c r="H5" s="130" t="s">
        <v>179</v>
      </c>
      <c r="I5" s="130" t="s">
        <v>181</v>
      </c>
      <c r="J5" s="130" t="s">
        <v>180</v>
      </c>
      <c r="K5" s="1"/>
      <c r="L5" s="129" t="s">
        <v>177</v>
      </c>
      <c r="M5" s="130" t="s">
        <v>178</v>
      </c>
      <c r="N5" s="130" t="s">
        <v>179</v>
      </c>
      <c r="O5" s="130" t="s">
        <v>181</v>
      </c>
      <c r="P5" s="130" t="s">
        <v>180</v>
      </c>
      <c r="Q5" s="130" t="s">
        <v>178</v>
      </c>
      <c r="R5" s="130" t="s">
        <v>179</v>
      </c>
      <c r="S5" s="130" t="s">
        <v>181</v>
      </c>
      <c r="T5" s="130" t="s">
        <v>180</v>
      </c>
      <c r="V5" s="131"/>
      <c r="W5" s="130" t="s">
        <v>178</v>
      </c>
      <c r="X5" s="130" t="s">
        <v>179</v>
      </c>
      <c r="Y5" s="130" t="s">
        <v>180</v>
      </c>
      <c r="Z5" s="130" t="s">
        <v>178</v>
      </c>
      <c r="AA5" s="130" t="s">
        <v>179</v>
      </c>
      <c r="AB5" s="130" t="s">
        <v>180</v>
      </c>
      <c r="AD5" s="129" t="s">
        <v>177</v>
      </c>
      <c r="AE5" s="130" t="s">
        <v>178</v>
      </c>
      <c r="AF5" s="130" t="s">
        <v>179</v>
      </c>
      <c r="AG5" s="130" t="s">
        <v>180</v>
      </c>
      <c r="AH5" s="130" t="s">
        <v>178</v>
      </c>
      <c r="AI5" s="130" t="s">
        <v>179</v>
      </c>
      <c r="AJ5" s="130" t="s">
        <v>180</v>
      </c>
    </row>
    <row r="6" spans="1:36">
      <c r="A6"/>
      <c r="B6" s="112">
        <f>B7-1</f>
        <v>46053</v>
      </c>
      <c r="C6" s="256">
        <v>4689</v>
      </c>
      <c r="D6" s="257">
        <v>4694</v>
      </c>
      <c r="E6" s="15">
        <v>40</v>
      </c>
      <c r="F6" s="124">
        <f>E6*(D6-C6)</f>
        <v>200</v>
      </c>
      <c r="G6" s="261">
        <v>14</v>
      </c>
      <c r="H6" s="261">
        <v>16</v>
      </c>
      <c r="I6" s="15">
        <v>40</v>
      </c>
      <c r="J6" s="124">
        <f>I6*(H6-G6)</f>
        <v>80</v>
      </c>
      <c r="L6" s="126">
        <f>L7-1</f>
        <v>46053</v>
      </c>
      <c r="M6" s="261">
        <v>4819</v>
      </c>
      <c r="N6" s="261">
        <v>4824</v>
      </c>
      <c r="O6" s="15">
        <v>40</v>
      </c>
      <c r="P6" s="124">
        <f>O6*(N6-M6)</f>
        <v>200</v>
      </c>
      <c r="Q6" s="261">
        <v>15</v>
      </c>
      <c r="R6" s="261">
        <v>16</v>
      </c>
      <c r="S6" s="15">
        <v>0</v>
      </c>
      <c r="T6" s="124">
        <f>S6*(R6-Q6)</f>
        <v>0</v>
      </c>
      <c r="V6" s="126">
        <f>V7-1</f>
        <v>46053</v>
      </c>
      <c r="W6" s="263">
        <v>73097</v>
      </c>
      <c r="X6" s="263">
        <v>73415</v>
      </c>
      <c r="Y6" s="124">
        <f>X6-W6</f>
        <v>318</v>
      </c>
      <c r="Z6" s="263">
        <v>78880</v>
      </c>
      <c r="AA6" s="263">
        <v>79212</v>
      </c>
      <c r="AB6" s="124">
        <f>AA6-Z6</f>
        <v>332</v>
      </c>
      <c r="AD6" s="128">
        <f>AD7-1</f>
        <v>46053</v>
      </c>
      <c r="AE6" s="256">
        <v>2542.9686000000002</v>
      </c>
      <c r="AF6" s="256">
        <v>2545.819</v>
      </c>
      <c r="AG6" s="124">
        <f>AF6-AE6</f>
        <v>2.8503999999998086</v>
      </c>
      <c r="AH6" s="266">
        <v>2107.7399999999998</v>
      </c>
      <c r="AI6" s="266">
        <v>2382.7285999999999</v>
      </c>
      <c r="AJ6" s="124">
        <f>AI6-AH6</f>
        <v>274.98860000000013</v>
      </c>
    </row>
    <row r="7" spans="1:36">
      <c r="A7"/>
      <c r="B7" s="113">
        <f>Summary!R4</f>
        <v>46054</v>
      </c>
      <c r="C7" s="256">
        <f>D6</f>
        <v>4694</v>
      </c>
      <c r="D7" s="257">
        <v>4699</v>
      </c>
      <c r="E7" s="15">
        <v>40</v>
      </c>
      <c r="F7" s="124">
        <f>E7*(D7-C7)</f>
        <v>200</v>
      </c>
      <c r="G7" s="261">
        <f>H6</f>
        <v>16</v>
      </c>
      <c r="H7" s="261">
        <v>16</v>
      </c>
      <c r="I7" s="15">
        <v>40</v>
      </c>
      <c r="J7" s="124">
        <f>I7*(H7-G7)</f>
        <v>0</v>
      </c>
      <c r="L7" s="126">
        <f>Summary!R4</f>
        <v>46054</v>
      </c>
      <c r="M7" s="261">
        <f>N6</f>
        <v>4824</v>
      </c>
      <c r="N7" s="261">
        <v>4829</v>
      </c>
      <c r="O7" s="15">
        <v>40</v>
      </c>
      <c r="P7" s="124">
        <f t="shared" ref="P7:P37" si="0">O7*(N7-M7)</f>
        <v>200</v>
      </c>
      <c r="Q7" s="261">
        <f>R6</f>
        <v>16</v>
      </c>
      <c r="R7" s="261">
        <v>16</v>
      </c>
      <c r="S7" s="15">
        <v>0</v>
      </c>
      <c r="T7" s="124">
        <f t="shared" ref="T7:T34" si="1">S7*(R7-Q7)</f>
        <v>0</v>
      </c>
      <c r="V7" s="126">
        <f>Summary!R4</f>
        <v>46054</v>
      </c>
      <c r="W7" s="264">
        <f>X6</f>
        <v>73415</v>
      </c>
      <c r="X7" s="263">
        <v>73671</v>
      </c>
      <c r="Y7" s="124">
        <f>X7-W7</f>
        <v>256</v>
      </c>
      <c r="Z7" s="263">
        <f>AA6</f>
        <v>79212</v>
      </c>
      <c r="AA7" s="263">
        <v>79480</v>
      </c>
      <c r="AB7" s="124">
        <f>AA7-Z7</f>
        <v>268</v>
      </c>
      <c r="AD7" s="126">
        <f>Summary!R4</f>
        <v>46054</v>
      </c>
      <c r="AE7" s="256">
        <f>AF6</f>
        <v>2545.819</v>
      </c>
      <c r="AF7" s="256">
        <v>2548.0970000000002</v>
      </c>
      <c r="AG7" s="124">
        <f t="shared" ref="AG7:AG34" si="2">AF7-AE7</f>
        <v>2.2780000000002474</v>
      </c>
      <c r="AH7" s="266">
        <f>AI6</f>
        <v>2382.7285999999999</v>
      </c>
      <c r="AI7" s="266">
        <v>2382.7285999999999</v>
      </c>
      <c r="AJ7" s="124">
        <f t="shared" ref="AJ7:AJ34" si="3">AI7-AH7</f>
        <v>0</v>
      </c>
    </row>
    <row r="8" spans="1:36">
      <c r="A8"/>
      <c r="B8" s="113">
        <f>B7+1</f>
        <v>46055</v>
      </c>
      <c r="C8" s="256">
        <f t="shared" ref="C8:C37" si="4">D7</f>
        <v>4699</v>
      </c>
      <c r="D8" s="257">
        <v>4705</v>
      </c>
      <c r="E8" s="15">
        <v>40</v>
      </c>
      <c r="F8" s="124">
        <f t="shared" ref="F8:F34" si="5">E8*(D8-C8)</f>
        <v>240</v>
      </c>
      <c r="G8" s="261">
        <f t="shared" ref="G8:G37" si="6">H7</f>
        <v>16</v>
      </c>
      <c r="H8" s="261">
        <v>16</v>
      </c>
      <c r="I8" s="15">
        <v>40</v>
      </c>
      <c r="J8" s="124">
        <f t="shared" ref="J8:J34" si="7">I8*(H8-G8)</f>
        <v>0</v>
      </c>
      <c r="L8" s="126">
        <f>L7+1</f>
        <v>46055</v>
      </c>
      <c r="M8" s="261">
        <f t="shared" ref="M8:M37" si="8">N7</f>
        <v>4829</v>
      </c>
      <c r="N8" s="261">
        <v>4835</v>
      </c>
      <c r="O8" s="15">
        <v>40</v>
      </c>
      <c r="P8" s="124">
        <f t="shared" si="0"/>
        <v>240</v>
      </c>
      <c r="Q8" s="261">
        <f t="shared" ref="Q8:Q37" si="9">R7</f>
        <v>16</v>
      </c>
      <c r="R8" s="261">
        <v>16</v>
      </c>
      <c r="S8" s="15">
        <v>0</v>
      </c>
      <c r="T8" s="124">
        <f t="shared" si="1"/>
        <v>0</v>
      </c>
      <c r="V8" s="126">
        <f>V7+1</f>
        <v>46055</v>
      </c>
      <c r="W8" s="264">
        <f t="shared" ref="W8:W37" si="10">X7</f>
        <v>73671</v>
      </c>
      <c r="X8" s="263">
        <v>73999</v>
      </c>
      <c r="Y8" s="124">
        <f t="shared" ref="Y8:Y22" si="11">X8-W8</f>
        <v>328</v>
      </c>
      <c r="Z8" s="263">
        <f t="shared" ref="Z8:Z37" si="12">AA7</f>
        <v>79480</v>
      </c>
      <c r="AA8" s="263">
        <v>79822</v>
      </c>
      <c r="AB8" s="124">
        <f t="shared" ref="AB8:AB34" si="13">AA8-Z8</f>
        <v>342</v>
      </c>
      <c r="AD8" s="126">
        <f>AD7+1</f>
        <v>46055</v>
      </c>
      <c r="AE8" s="256">
        <f t="shared" ref="AE8:AE37" si="14">AF7</f>
        <v>2548.0970000000002</v>
      </c>
      <c r="AF8" s="256">
        <v>2551.982</v>
      </c>
      <c r="AG8" s="124">
        <f t="shared" si="2"/>
        <v>3.8849999999997635</v>
      </c>
      <c r="AH8" s="266">
        <f t="shared" ref="AH8:AH37" si="15">AI7</f>
        <v>2382.7285999999999</v>
      </c>
      <c r="AI8" s="266">
        <v>2382.7285999999999</v>
      </c>
      <c r="AJ8" s="124">
        <f t="shared" si="3"/>
        <v>0</v>
      </c>
    </row>
    <row r="9" spans="1:36">
      <c r="A9"/>
      <c r="B9" s="113">
        <f t="shared" ref="B9:B37" si="16">B8+1</f>
        <v>46056</v>
      </c>
      <c r="C9" s="256">
        <f t="shared" si="4"/>
        <v>4705</v>
      </c>
      <c r="D9" s="257">
        <v>4710</v>
      </c>
      <c r="E9" s="15">
        <v>40</v>
      </c>
      <c r="F9" s="124">
        <f t="shared" si="5"/>
        <v>200</v>
      </c>
      <c r="G9" s="261">
        <f t="shared" si="6"/>
        <v>16</v>
      </c>
      <c r="H9" s="261">
        <v>16</v>
      </c>
      <c r="I9" s="15">
        <v>40</v>
      </c>
      <c r="J9" s="124">
        <f t="shared" si="7"/>
        <v>0</v>
      </c>
      <c r="L9" s="126">
        <f t="shared" ref="L9:L37" si="17">L8+1</f>
        <v>46056</v>
      </c>
      <c r="M9" s="261">
        <f t="shared" si="8"/>
        <v>4835</v>
      </c>
      <c r="N9" s="261">
        <v>4841</v>
      </c>
      <c r="O9" s="15">
        <v>40</v>
      </c>
      <c r="P9" s="124">
        <f t="shared" si="0"/>
        <v>240</v>
      </c>
      <c r="Q9" s="261">
        <f t="shared" si="9"/>
        <v>16</v>
      </c>
      <c r="R9" s="261">
        <v>16</v>
      </c>
      <c r="S9" s="15">
        <v>0</v>
      </c>
      <c r="T9" s="124">
        <f t="shared" si="1"/>
        <v>0</v>
      </c>
      <c r="V9" s="126">
        <f t="shared" ref="V9:V37" si="18">V8+1</f>
        <v>46056</v>
      </c>
      <c r="W9" s="264">
        <f t="shared" si="10"/>
        <v>73999</v>
      </c>
      <c r="X9" s="263">
        <v>74288</v>
      </c>
      <c r="Y9" s="124">
        <f t="shared" si="11"/>
        <v>289</v>
      </c>
      <c r="Z9" s="263">
        <f t="shared" si="12"/>
        <v>79822</v>
      </c>
      <c r="AA9" s="263">
        <v>80140</v>
      </c>
      <c r="AB9" s="124">
        <f t="shared" si="13"/>
        <v>318</v>
      </c>
      <c r="AD9" s="126">
        <f t="shared" ref="AD9:AD37" si="19">AD8+1</f>
        <v>46056</v>
      </c>
      <c r="AE9" s="256">
        <f t="shared" si="14"/>
        <v>2551.982</v>
      </c>
      <c r="AF9" s="256">
        <v>2555.4090000000001</v>
      </c>
      <c r="AG9" s="124">
        <f t="shared" si="2"/>
        <v>3.4270000000001346</v>
      </c>
      <c r="AH9" s="266">
        <f t="shared" si="15"/>
        <v>2382.7285999999999</v>
      </c>
      <c r="AI9" s="266">
        <v>2382.7285999999999</v>
      </c>
      <c r="AJ9" s="124">
        <f t="shared" si="3"/>
        <v>0</v>
      </c>
    </row>
    <row r="10" spans="1:36">
      <c r="A10"/>
      <c r="B10" s="113">
        <f t="shared" si="16"/>
        <v>46057</v>
      </c>
      <c r="C10" s="256">
        <f t="shared" si="4"/>
        <v>4710</v>
      </c>
      <c r="D10" s="257">
        <v>4713</v>
      </c>
      <c r="E10" s="15">
        <v>40</v>
      </c>
      <c r="F10" s="124">
        <f t="shared" si="5"/>
        <v>120</v>
      </c>
      <c r="G10" s="261">
        <f t="shared" si="6"/>
        <v>16</v>
      </c>
      <c r="H10" s="261">
        <v>16</v>
      </c>
      <c r="I10" s="15">
        <v>40</v>
      </c>
      <c r="J10" s="124">
        <f t="shared" si="7"/>
        <v>0</v>
      </c>
      <c r="L10" s="126">
        <f t="shared" si="17"/>
        <v>46057</v>
      </c>
      <c r="M10" s="261">
        <f t="shared" si="8"/>
        <v>4841</v>
      </c>
      <c r="N10" s="261">
        <v>4845</v>
      </c>
      <c r="O10" s="15">
        <v>40</v>
      </c>
      <c r="P10" s="124">
        <f t="shared" si="0"/>
        <v>160</v>
      </c>
      <c r="Q10" s="261">
        <f t="shared" si="9"/>
        <v>16</v>
      </c>
      <c r="R10" s="261">
        <v>16</v>
      </c>
      <c r="S10" s="15">
        <v>0</v>
      </c>
      <c r="T10" s="124">
        <f t="shared" si="1"/>
        <v>0</v>
      </c>
      <c r="V10" s="126">
        <f t="shared" si="18"/>
        <v>46057</v>
      </c>
      <c r="W10" s="264">
        <f t="shared" si="10"/>
        <v>74288</v>
      </c>
      <c r="X10" s="263">
        <v>74683</v>
      </c>
      <c r="Y10" s="124">
        <f t="shared" si="11"/>
        <v>395</v>
      </c>
      <c r="Z10" s="263">
        <f t="shared" si="12"/>
        <v>80140</v>
      </c>
      <c r="AA10" s="263">
        <v>80559</v>
      </c>
      <c r="AB10" s="124">
        <f t="shared" si="13"/>
        <v>419</v>
      </c>
      <c r="AD10" s="126">
        <f t="shared" si="19"/>
        <v>46057</v>
      </c>
      <c r="AE10" s="256">
        <f t="shared" si="14"/>
        <v>2555.4090000000001</v>
      </c>
      <c r="AF10" s="256">
        <v>2557.4953999999998</v>
      </c>
      <c r="AG10" s="124">
        <f t="shared" si="2"/>
        <v>2.086399999999685</v>
      </c>
      <c r="AH10" s="266">
        <f t="shared" si="15"/>
        <v>2382.7285999999999</v>
      </c>
      <c r="AI10" s="266">
        <v>2382.7285999999999</v>
      </c>
      <c r="AJ10" s="124">
        <f t="shared" si="3"/>
        <v>0</v>
      </c>
    </row>
    <row r="11" spans="1:36">
      <c r="A11"/>
      <c r="B11" s="113">
        <f t="shared" si="16"/>
        <v>46058</v>
      </c>
      <c r="C11" s="256">
        <f t="shared" si="4"/>
        <v>4713</v>
      </c>
      <c r="D11" s="257">
        <v>4720</v>
      </c>
      <c r="E11" s="15">
        <v>40</v>
      </c>
      <c r="F11" s="124">
        <f t="shared" si="5"/>
        <v>280</v>
      </c>
      <c r="G11" s="261">
        <f t="shared" si="6"/>
        <v>16</v>
      </c>
      <c r="H11" s="261">
        <v>16</v>
      </c>
      <c r="I11" s="15">
        <v>40</v>
      </c>
      <c r="J11" s="124">
        <f t="shared" si="7"/>
        <v>0</v>
      </c>
      <c r="L11" s="126">
        <f t="shared" si="17"/>
        <v>46058</v>
      </c>
      <c r="M11" s="261">
        <f t="shared" si="8"/>
        <v>4845</v>
      </c>
      <c r="N11" s="261">
        <v>4851</v>
      </c>
      <c r="O11" s="15">
        <v>40</v>
      </c>
      <c r="P11" s="124">
        <f t="shared" si="0"/>
        <v>240</v>
      </c>
      <c r="Q11" s="261">
        <f t="shared" si="9"/>
        <v>16</v>
      </c>
      <c r="R11" s="261">
        <v>16</v>
      </c>
      <c r="S11" s="15">
        <v>0</v>
      </c>
      <c r="T11" s="124">
        <f t="shared" si="1"/>
        <v>0</v>
      </c>
      <c r="V11" s="126">
        <f t="shared" si="18"/>
        <v>46058</v>
      </c>
      <c r="W11" s="264">
        <f t="shared" si="10"/>
        <v>74683</v>
      </c>
      <c r="X11" s="263">
        <v>75102</v>
      </c>
      <c r="Y11" s="124">
        <f t="shared" si="11"/>
        <v>419</v>
      </c>
      <c r="Z11" s="263">
        <f t="shared" si="12"/>
        <v>80559</v>
      </c>
      <c r="AA11" s="263">
        <v>81010</v>
      </c>
      <c r="AB11" s="124">
        <f t="shared" si="13"/>
        <v>451</v>
      </c>
      <c r="AD11" s="126">
        <f t="shared" si="19"/>
        <v>46058</v>
      </c>
      <c r="AE11" s="256">
        <f t="shared" si="14"/>
        <v>2557.4953999999998</v>
      </c>
      <c r="AF11" s="256">
        <v>2561.1109999999999</v>
      </c>
      <c r="AG11" s="124">
        <f t="shared" si="2"/>
        <v>3.6156000000000859</v>
      </c>
      <c r="AH11" s="266">
        <f t="shared" si="15"/>
        <v>2382.7285999999999</v>
      </c>
      <c r="AI11" s="266">
        <v>2382.7285999999999</v>
      </c>
      <c r="AJ11" s="124">
        <f t="shared" si="3"/>
        <v>0</v>
      </c>
    </row>
    <row r="12" spans="1:36">
      <c r="A12"/>
      <c r="B12" s="113">
        <f t="shared" si="16"/>
        <v>46059</v>
      </c>
      <c r="C12" s="256">
        <f t="shared" si="4"/>
        <v>4720</v>
      </c>
      <c r="D12" s="257">
        <v>4728</v>
      </c>
      <c r="E12" s="15">
        <v>40</v>
      </c>
      <c r="F12" s="124">
        <f t="shared" si="5"/>
        <v>320</v>
      </c>
      <c r="G12" s="261">
        <f t="shared" si="6"/>
        <v>16</v>
      </c>
      <c r="H12" s="261">
        <v>16</v>
      </c>
      <c r="I12" s="15">
        <v>40</v>
      </c>
      <c r="J12" s="124">
        <f t="shared" si="7"/>
        <v>0</v>
      </c>
      <c r="L12" s="126">
        <f t="shared" si="17"/>
        <v>46059</v>
      </c>
      <c r="M12" s="261">
        <f t="shared" si="8"/>
        <v>4851</v>
      </c>
      <c r="N12" s="261">
        <v>4859</v>
      </c>
      <c r="O12" s="15">
        <v>40</v>
      </c>
      <c r="P12" s="124">
        <f t="shared" si="0"/>
        <v>320</v>
      </c>
      <c r="Q12" s="261">
        <f t="shared" si="9"/>
        <v>16</v>
      </c>
      <c r="R12" s="261">
        <v>16</v>
      </c>
      <c r="S12" s="15">
        <v>0</v>
      </c>
      <c r="T12" s="124">
        <f t="shared" si="1"/>
        <v>0</v>
      </c>
      <c r="V12" s="126">
        <f t="shared" si="18"/>
        <v>46059</v>
      </c>
      <c r="W12" s="264">
        <f t="shared" si="10"/>
        <v>75102</v>
      </c>
      <c r="X12" s="263">
        <v>75526</v>
      </c>
      <c r="Y12" s="124">
        <f t="shared" si="11"/>
        <v>424</v>
      </c>
      <c r="Z12" s="263">
        <f t="shared" si="12"/>
        <v>81010</v>
      </c>
      <c r="AA12" s="263">
        <v>81466</v>
      </c>
      <c r="AB12" s="124">
        <f t="shared" si="13"/>
        <v>456</v>
      </c>
      <c r="AD12" s="126">
        <f t="shared" si="19"/>
        <v>46059</v>
      </c>
      <c r="AE12" s="256">
        <f t="shared" si="14"/>
        <v>2561.1109999999999</v>
      </c>
      <c r="AF12" s="256">
        <v>2564.7157999999999</v>
      </c>
      <c r="AG12" s="124">
        <f t="shared" si="2"/>
        <v>3.6048000000000684</v>
      </c>
      <c r="AH12" s="266">
        <f t="shared" si="15"/>
        <v>2382.7285999999999</v>
      </c>
      <c r="AI12" s="266">
        <v>2382.7285999999999</v>
      </c>
      <c r="AJ12" s="124">
        <f t="shared" si="3"/>
        <v>0</v>
      </c>
    </row>
    <row r="13" spans="1:36">
      <c r="A13"/>
      <c r="B13" s="113">
        <f t="shared" si="16"/>
        <v>46060</v>
      </c>
      <c r="C13" s="256">
        <f t="shared" si="4"/>
        <v>4728</v>
      </c>
      <c r="D13" s="257">
        <v>4735</v>
      </c>
      <c r="E13" s="15">
        <v>40</v>
      </c>
      <c r="F13" s="124">
        <f t="shared" si="5"/>
        <v>280</v>
      </c>
      <c r="G13" s="261">
        <f t="shared" si="6"/>
        <v>16</v>
      </c>
      <c r="H13" s="261">
        <v>16</v>
      </c>
      <c r="I13" s="15">
        <v>40</v>
      </c>
      <c r="J13" s="124">
        <f t="shared" si="7"/>
        <v>0</v>
      </c>
      <c r="L13" s="126">
        <f t="shared" si="17"/>
        <v>46060</v>
      </c>
      <c r="M13" s="261">
        <f t="shared" si="8"/>
        <v>4859</v>
      </c>
      <c r="N13" s="261">
        <v>4866</v>
      </c>
      <c r="O13" s="15">
        <v>40</v>
      </c>
      <c r="P13" s="124">
        <f t="shared" si="0"/>
        <v>280</v>
      </c>
      <c r="Q13" s="261">
        <f t="shared" si="9"/>
        <v>16</v>
      </c>
      <c r="R13" s="261">
        <v>16</v>
      </c>
      <c r="S13" s="15">
        <v>0</v>
      </c>
      <c r="T13" s="124">
        <f t="shared" si="1"/>
        <v>0</v>
      </c>
      <c r="V13" s="126">
        <f t="shared" si="18"/>
        <v>46060</v>
      </c>
      <c r="W13" s="264">
        <f t="shared" si="10"/>
        <v>75526</v>
      </c>
      <c r="X13" s="263">
        <v>75948</v>
      </c>
      <c r="Y13" s="124">
        <f t="shared" si="11"/>
        <v>422</v>
      </c>
      <c r="Z13" s="263">
        <f t="shared" si="12"/>
        <v>81466</v>
      </c>
      <c r="AA13" s="263">
        <v>82351</v>
      </c>
      <c r="AB13" s="124">
        <f t="shared" si="13"/>
        <v>885</v>
      </c>
      <c r="AD13" s="126">
        <f t="shared" si="19"/>
        <v>46060</v>
      </c>
      <c r="AE13" s="256">
        <f t="shared" si="14"/>
        <v>2564.7157999999999</v>
      </c>
      <c r="AF13" s="256">
        <v>2568.4182000000001</v>
      </c>
      <c r="AG13" s="124">
        <f t="shared" si="2"/>
        <v>3.7024000000001251</v>
      </c>
      <c r="AH13" s="266">
        <f t="shared" si="15"/>
        <v>2382.7285999999999</v>
      </c>
      <c r="AI13" s="266">
        <v>2382.7285999999999</v>
      </c>
      <c r="AJ13" s="124">
        <f t="shared" si="3"/>
        <v>0</v>
      </c>
    </row>
    <row r="14" spans="1:36">
      <c r="A14"/>
      <c r="B14" s="113">
        <f t="shared" si="16"/>
        <v>46061</v>
      </c>
      <c r="C14" s="256">
        <f t="shared" si="4"/>
        <v>4735</v>
      </c>
      <c r="D14" s="257">
        <v>4743</v>
      </c>
      <c r="E14" s="15">
        <v>40</v>
      </c>
      <c r="F14" s="124">
        <f t="shared" si="5"/>
        <v>320</v>
      </c>
      <c r="G14" s="261">
        <f t="shared" si="6"/>
        <v>16</v>
      </c>
      <c r="H14" s="261">
        <v>16</v>
      </c>
      <c r="I14" s="15">
        <v>40</v>
      </c>
      <c r="J14" s="124">
        <f t="shared" si="7"/>
        <v>0</v>
      </c>
      <c r="L14" s="126">
        <f t="shared" si="17"/>
        <v>46061</v>
      </c>
      <c r="M14" s="261">
        <f t="shared" si="8"/>
        <v>4866</v>
      </c>
      <c r="N14" s="261">
        <v>4875</v>
      </c>
      <c r="O14" s="15">
        <v>40</v>
      </c>
      <c r="P14" s="124">
        <f t="shared" si="0"/>
        <v>360</v>
      </c>
      <c r="Q14" s="261">
        <f t="shared" si="9"/>
        <v>16</v>
      </c>
      <c r="R14" s="261">
        <v>16</v>
      </c>
      <c r="S14" s="15">
        <v>0</v>
      </c>
      <c r="T14" s="124">
        <f t="shared" si="1"/>
        <v>0</v>
      </c>
      <c r="V14" s="126">
        <f t="shared" si="18"/>
        <v>46061</v>
      </c>
      <c r="W14" s="264">
        <f t="shared" si="10"/>
        <v>75948</v>
      </c>
      <c r="X14" s="263">
        <v>76779</v>
      </c>
      <c r="Y14" s="124">
        <f t="shared" si="11"/>
        <v>831</v>
      </c>
      <c r="Z14" s="263">
        <f t="shared" si="12"/>
        <v>82351</v>
      </c>
      <c r="AA14" s="263">
        <v>82784</v>
      </c>
      <c r="AB14" s="124">
        <f t="shared" si="13"/>
        <v>433</v>
      </c>
      <c r="AD14" s="126">
        <f t="shared" si="19"/>
        <v>46061</v>
      </c>
      <c r="AE14" s="256">
        <f t="shared" si="14"/>
        <v>2568.4182000000001</v>
      </c>
      <c r="AF14" s="256">
        <v>2572.0300000000002</v>
      </c>
      <c r="AG14" s="124">
        <f t="shared" si="2"/>
        <v>3.6118000000001302</v>
      </c>
      <c r="AH14" s="266">
        <f t="shared" si="15"/>
        <v>2382.7285999999999</v>
      </c>
      <c r="AI14" s="266">
        <v>2382.7285999999999</v>
      </c>
      <c r="AJ14" s="124">
        <f t="shared" si="3"/>
        <v>0</v>
      </c>
    </row>
    <row r="15" spans="1:36">
      <c r="A15"/>
      <c r="B15" s="113">
        <f t="shared" si="16"/>
        <v>46062</v>
      </c>
      <c r="C15" s="256">
        <f t="shared" si="4"/>
        <v>4743</v>
      </c>
      <c r="D15" s="257">
        <v>4750</v>
      </c>
      <c r="E15" s="15">
        <v>40</v>
      </c>
      <c r="F15" s="124">
        <f t="shared" si="5"/>
        <v>280</v>
      </c>
      <c r="G15" s="261">
        <f t="shared" si="6"/>
        <v>16</v>
      </c>
      <c r="H15" s="261">
        <v>16</v>
      </c>
      <c r="I15" s="15">
        <v>40</v>
      </c>
      <c r="J15" s="124">
        <f t="shared" si="7"/>
        <v>0</v>
      </c>
      <c r="L15" s="126">
        <f t="shared" si="17"/>
        <v>46062</v>
      </c>
      <c r="M15" s="261">
        <f t="shared" si="8"/>
        <v>4875</v>
      </c>
      <c r="N15" s="261">
        <v>4883</v>
      </c>
      <c r="O15" s="15">
        <v>40</v>
      </c>
      <c r="P15" s="124">
        <f t="shared" si="0"/>
        <v>320</v>
      </c>
      <c r="Q15" s="261">
        <f t="shared" si="9"/>
        <v>16</v>
      </c>
      <c r="R15" s="261">
        <v>16</v>
      </c>
      <c r="S15" s="15">
        <v>0</v>
      </c>
      <c r="T15" s="124">
        <f t="shared" si="1"/>
        <v>0</v>
      </c>
      <c r="V15" s="126">
        <f t="shared" si="18"/>
        <v>46062</v>
      </c>
      <c r="W15" s="264">
        <f t="shared" si="10"/>
        <v>76779</v>
      </c>
      <c r="X15" s="263">
        <v>77087</v>
      </c>
      <c r="Y15" s="124">
        <f t="shared" si="11"/>
        <v>308</v>
      </c>
      <c r="Z15" s="263">
        <f t="shared" si="12"/>
        <v>82784</v>
      </c>
      <c r="AA15" s="263">
        <v>83133</v>
      </c>
      <c r="AB15" s="124">
        <f t="shared" si="13"/>
        <v>349</v>
      </c>
      <c r="AD15" s="126">
        <f t="shared" si="19"/>
        <v>46062</v>
      </c>
      <c r="AE15" s="256">
        <f t="shared" si="14"/>
        <v>2572.0300000000002</v>
      </c>
      <c r="AF15" s="256">
        <v>2575.6251999999999</v>
      </c>
      <c r="AG15" s="124">
        <f t="shared" si="2"/>
        <v>3.5951999999997497</v>
      </c>
      <c r="AH15" s="266">
        <f t="shared" si="15"/>
        <v>2382.7285999999999</v>
      </c>
      <c r="AI15" s="266">
        <v>2382.7285999999999</v>
      </c>
      <c r="AJ15" s="124">
        <f t="shared" si="3"/>
        <v>0</v>
      </c>
    </row>
    <row r="16" spans="1:36">
      <c r="A16"/>
      <c r="B16" s="113">
        <f t="shared" si="16"/>
        <v>46063</v>
      </c>
      <c r="C16" s="256">
        <f t="shared" si="4"/>
        <v>4750</v>
      </c>
      <c r="D16" s="257">
        <v>4756</v>
      </c>
      <c r="E16" s="15">
        <v>40</v>
      </c>
      <c r="F16" s="124">
        <f>E16*(D16-C16)</f>
        <v>240</v>
      </c>
      <c r="G16" s="261">
        <f t="shared" si="6"/>
        <v>16</v>
      </c>
      <c r="H16" s="261">
        <v>16</v>
      </c>
      <c r="I16" s="15">
        <v>40</v>
      </c>
      <c r="J16" s="124">
        <f t="shared" si="7"/>
        <v>0</v>
      </c>
      <c r="L16" s="126">
        <f t="shared" si="17"/>
        <v>46063</v>
      </c>
      <c r="M16" s="261">
        <f t="shared" si="8"/>
        <v>4883</v>
      </c>
      <c r="N16" s="261">
        <v>4889</v>
      </c>
      <c r="O16" s="15">
        <v>40</v>
      </c>
      <c r="P16" s="124">
        <f t="shared" si="0"/>
        <v>240</v>
      </c>
      <c r="Q16" s="261">
        <f t="shared" si="9"/>
        <v>16</v>
      </c>
      <c r="R16" s="261">
        <v>16</v>
      </c>
      <c r="S16" s="15">
        <v>0</v>
      </c>
      <c r="T16" s="124">
        <f t="shared" si="1"/>
        <v>0</v>
      </c>
      <c r="V16" s="126">
        <f t="shared" si="18"/>
        <v>46063</v>
      </c>
      <c r="W16" s="264">
        <f t="shared" si="10"/>
        <v>77087</v>
      </c>
      <c r="X16" s="263">
        <v>77298</v>
      </c>
      <c r="Y16" s="124">
        <f t="shared" si="11"/>
        <v>211</v>
      </c>
      <c r="Z16" s="263">
        <f t="shared" si="12"/>
        <v>83133</v>
      </c>
      <c r="AA16" s="263">
        <v>83316</v>
      </c>
      <c r="AB16" s="124">
        <f t="shared" si="13"/>
        <v>183</v>
      </c>
      <c r="AD16" s="126">
        <f t="shared" si="19"/>
        <v>46063</v>
      </c>
      <c r="AE16" s="256">
        <f t="shared" si="14"/>
        <v>2575.6251999999999</v>
      </c>
      <c r="AF16" s="256">
        <v>2577.9838</v>
      </c>
      <c r="AG16" s="124">
        <f t="shared" si="2"/>
        <v>2.358600000000024</v>
      </c>
      <c r="AH16" s="266">
        <f t="shared" si="15"/>
        <v>2382.7285999999999</v>
      </c>
      <c r="AI16" s="266">
        <v>2382.7285999999999</v>
      </c>
      <c r="AJ16" s="124">
        <f t="shared" si="3"/>
        <v>0</v>
      </c>
    </row>
    <row r="17" spans="1:36">
      <c r="A17"/>
      <c r="B17" s="113">
        <f t="shared" si="16"/>
        <v>46064</v>
      </c>
      <c r="C17" s="256">
        <f t="shared" si="4"/>
        <v>4756</v>
      </c>
      <c r="D17" s="257">
        <v>4759</v>
      </c>
      <c r="E17" s="15">
        <v>40</v>
      </c>
      <c r="F17" s="124">
        <f t="shared" si="5"/>
        <v>120</v>
      </c>
      <c r="G17" s="261">
        <f t="shared" si="6"/>
        <v>16</v>
      </c>
      <c r="H17" s="261">
        <v>16</v>
      </c>
      <c r="I17" s="15">
        <v>40</v>
      </c>
      <c r="J17" s="124">
        <f t="shared" si="7"/>
        <v>0</v>
      </c>
      <c r="L17" s="126">
        <f t="shared" si="17"/>
        <v>46064</v>
      </c>
      <c r="M17" s="261">
        <f t="shared" si="8"/>
        <v>4889</v>
      </c>
      <c r="N17" s="261">
        <v>4892</v>
      </c>
      <c r="O17" s="15">
        <v>40</v>
      </c>
      <c r="P17" s="124">
        <f t="shared" si="0"/>
        <v>120</v>
      </c>
      <c r="Q17" s="261">
        <f t="shared" si="9"/>
        <v>16</v>
      </c>
      <c r="R17" s="261">
        <v>16</v>
      </c>
      <c r="S17" s="15">
        <v>0</v>
      </c>
      <c r="T17" s="124">
        <f t="shared" si="1"/>
        <v>0</v>
      </c>
      <c r="V17" s="126">
        <f t="shared" si="18"/>
        <v>46064</v>
      </c>
      <c r="W17" s="264">
        <f t="shared" si="10"/>
        <v>77298</v>
      </c>
      <c r="X17" s="263">
        <v>77720</v>
      </c>
      <c r="Y17" s="124">
        <f t="shared" si="11"/>
        <v>422</v>
      </c>
      <c r="Z17" s="263">
        <f t="shared" si="12"/>
        <v>83316</v>
      </c>
      <c r="AA17" s="263">
        <v>83759</v>
      </c>
      <c r="AB17" s="124">
        <f t="shared" si="13"/>
        <v>443</v>
      </c>
      <c r="AD17" s="126">
        <f t="shared" si="19"/>
        <v>46064</v>
      </c>
      <c r="AE17" s="256">
        <f t="shared" si="14"/>
        <v>2577.9838</v>
      </c>
      <c r="AF17" s="256">
        <v>2579.9115999999999</v>
      </c>
      <c r="AG17" s="124">
        <f t="shared" si="2"/>
        <v>1.9277999999999338</v>
      </c>
      <c r="AH17" s="266">
        <f t="shared" si="15"/>
        <v>2382.7285999999999</v>
      </c>
      <c r="AI17" s="266">
        <v>2382.7285999999999</v>
      </c>
      <c r="AJ17" s="124">
        <f t="shared" si="3"/>
        <v>0</v>
      </c>
    </row>
    <row r="18" spans="1:36">
      <c r="A18"/>
      <c r="B18" s="113">
        <f t="shared" si="16"/>
        <v>46065</v>
      </c>
      <c r="C18" s="256">
        <f t="shared" si="4"/>
        <v>4759</v>
      </c>
      <c r="D18" s="257">
        <v>4765</v>
      </c>
      <c r="E18" s="15">
        <v>40</v>
      </c>
      <c r="F18" s="124">
        <f t="shared" si="5"/>
        <v>240</v>
      </c>
      <c r="G18" s="261">
        <f t="shared" si="6"/>
        <v>16</v>
      </c>
      <c r="H18" s="261">
        <v>16</v>
      </c>
      <c r="I18" s="15">
        <v>40</v>
      </c>
      <c r="J18" s="124">
        <f t="shared" si="7"/>
        <v>0</v>
      </c>
      <c r="L18" s="126">
        <f t="shared" si="17"/>
        <v>46065</v>
      </c>
      <c r="M18" s="261">
        <f t="shared" si="8"/>
        <v>4892</v>
      </c>
      <c r="N18" s="261">
        <v>4898</v>
      </c>
      <c r="O18" s="15">
        <v>40</v>
      </c>
      <c r="P18" s="124">
        <f t="shared" si="0"/>
        <v>240</v>
      </c>
      <c r="Q18" s="261">
        <f t="shared" si="9"/>
        <v>16</v>
      </c>
      <c r="R18" s="261">
        <v>16</v>
      </c>
      <c r="S18" s="15">
        <v>0</v>
      </c>
      <c r="T18" s="124">
        <f t="shared" si="1"/>
        <v>0</v>
      </c>
      <c r="V18" s="126">
        <f t="shared" si="18"/>
        <v>46065</v>
      </c>
      <c r="W18" s="264">
        <f t="shared" si="10"/>
        <v>77720</v>
      </c>
      <c r="X18" s="263">
        <v>78171</v>
      </c>
      <c r="Y18" s="124">
        <f t="shared" si="11"/>
        <v>451</v>
      </c>
      <c r="Z18" s="263">
        <f t="shared" si="12"/>
        <v>83759</v>
      </c>
      <c r="AA18" s="263">
        <v>84232</v>
      </c>
      <c r="AB18" s="124">
        <f t="shared" si="13"/>
        <v>473</v>
      </c>
      <c r="AD18" s="126">
        <f t="shared" si="19"/>
        <v>46065</v>
      </c>
      <c r="AE18" s="256">
        <f t="shared" si="14"/>
        <v>2579.9115999999999</v>
      </c>
      <c r="AF18" s="256">
        <v>2583.9059999999999</v>
      </c>
      <c r="AG18" s="124">
        <f t="shared" si="2"/>
        <v>3.9944000000000415</v>
      </c>
      <c r="AH18" s="266">
        <f t="shared" si="15"/>
        <v>2382.7285999999999</v>
      </c>
      <c r="AI18" s="266">
        <v>2382.7285999999999</v>
      </c>
      <c r="AJ18" s="124">
        <f t="shared" si="3"/>
        <v>0</v>
      </c>
    </row>
    <row r="19" spans="1:36">
      <c r="A19"/>
      <c r="B19" s="113">
        <f t="shared" si="16"/>
        <v>46066</v>
      </c>
      <c r="C19" s="256">
        <f t="shared" si="4"/>
        <v>4765</v>
      </c>
      <c r="D19" s="257">
        <v>4773</v>
      </c>
      <c r="E19" s="15">
        <v>40</v>
      </c>
      <c r="F19" s="124">
        <f t="shared" si="5"/>
        <v>320</v>
      </c>
      <c r="G19" s="261">
        <f t="shared" si="6"/>
        <v>16</v>
      </c>
      <c r="H19" s="261">
        <v>16</v>
      </c>
      <c r="I19" s="15">
        <v>40</v>
      </c>
      <c r="J19" s="124">
        <f t="shared" si="7"/>
        <v>0</v>
      </c>
      <c r="L19" s="126">
        <f t="shared" si="17"/>
        <v>46066</v>
      </c>
      <c r="M19" s="261">
        <f t="shared" si="8"/>
        <v>4898</v>
      </c>
      <c r="N19" s="261">
        <v>4908</v>
      </c>
      <c r="O19" s="15">
        <v>40</v>
      </c>
      <c r="P19" s="124">
        <f t="shared" si="0"/>
        <v>400</v>
      </c>
      <c r="Q19" s="261">
        <f t="shared" si="9"/>
        <v>16</v>
      </c>
      <c r="R19" s="261">
        <v>16</v>
      </c>
      <c r="S19" s="15">
        <v>0</v>
      </c>
      <c r="T19" s="124">
        <f t="shared" si="1"/>
        <v>0</v>
      </c>
      <c r="V19" s="126">
        <f t="shared" si="18"/>
        <v>46066</v>
      </c>
      <c r="W19" s="264">
        <f t="shared" si="10"/>
        <v>78171</v>
      </c>
      <c r="X19" s="263">
        <v>78635</v>
      </c>
      <c r="Y19" s="124">
        <f t="shared" si="11"/>
        <v>464</v>
      </c>
      <c r="Z19" s="263">
        <f t="shared" si="12"/>
        <v>84232</v>
      </c>
      <c r="AA19" s="263">
        <v>84722</v>
      </c>
      <c r="AB19" s="124">
        <f t="shared" si="13"/>
        <v>490</v>
      </c>
      <c r="AD19" s="126">
        <f t="shared" si="19"/>
        <v>46066</v>
      </c>
      <c r="AE19" s="256">
        <f t="shared" si="14"/>
        <v>2583.9059999999999</v>
      </c>
      <c r="AF19" s="256">
        <v>2588.1932000000002</v>
      </c>
      <c r="AG19" s="124">
        <f t="shared" si="2"/>
        <v>4.2872000000002117</v>
      </c>
      <c r="AH19" s="266">
        <f t="shared" si="15"/>
        <v>2382.7285999999999</v>
      </c>
      <c r="AI19" s="266">
        <v>2382.7285999999999</v>
      </c>
      <c r="AJ19" s="124">
        <f t="shared" si="3"/>
        <v>0</v>
      </c>
    </row>
    <row r="20" spans="1:36">
      <c r="A20"/>
      <c r="B20" s="113">
        <f t="shared" si="16"/>
        <v>46067</v>
      </c>
      <c r="C20" s="256">
        <f t="shared" si="4"/>
        <v>4773</v>
      </c>
      <c r="D20" s="257">
        <v>4781</v>
      </c>
      <c r="E20" s="15">
        <v>40</v>
      </c>
      <c r="F20" s="124">
        <f t="shared" si="5"/>
        <v>320</v>
      </c>
      <c r="G20" s="261">
        <f t="shared" si="6"/>
        <v>16</v>
      </c>
      <c r="H20" s="261">
        <v>16</v>
      </c>
      <c r="I20" s="15">
        <v>40</v>
      </c>
      <c r="J20" s="124">
        <f t="shared" si="7"/>
        <v>0</v>
      </c>
      <c r="L20" s="126">
        <f t="shared" si="17"/>
        <v>46067</v>
      </c>
      <c r="M20" s="261">
        <f t="shared" si="8"/>
        <v>4908</v>
      </c>
      <c r="N20" s="261">
        <v>4917</v>
      </c>
      <c r="O20" s="15">
        <v>40</v>
      </c>
      <c r="P20" s="124">
        <f t="shared" si="0"/>
        <v>360</v>
      </c>
      <c r="Q20" s="261">
        <f t="shared" si="9"/>
        <v>16</v>
      </c>
      <c r="R20" s="261">
        <v>16</v>
      </c>
      <c r="S20" s="15">
        <v>0</v>
      </c>
      <c r="T20" s="124">
        <f t="shared" si="1"/>
        <v>0</v>
      </c>
      <c r="V20" s="126">
        <f t="shared" si="18"/>
        <v>46067</v>
      </c>
      <c r="W20" s="264">
        <f t="shared" si="10"/>
        <v>78635</v>
      </c>
      <c r="X20" s="263">
        <v>78948</v>
      </c>
      <c r="Y20" s="124">
        <f t="shared" si="11"/>
        <v>313</v>
      </c>
      <c r="Z20" s="263">
        <f t="shared" si="12"/>
        <v>84722</v>
      </c>
      <c r="AA20" s="263">
        <v>85048</v>
      </c>
      <c r="AB20" s="124">
        <f t="shared" si="13"/>
        <v>326</v>
      </c>
      <c r="AD20" s="126">
        <f t="shared" si="19"/>
        <v>46067</v>
      </c>
      <c r="AE20" s="256">
        <f t="shared" si="14"/>
        <v>2588.1932000000002</v>
      </c>
      <c r="AF20" s="256">
        <v>2592.6835999999998</v>
      </c>
      <c r="AG20" s="124">
        <f t="shared" si="2"/>
        <v>4.4903999999996813</v>
      </c>
      <c r="AH20" s="266">
        <f t="shared" si="15"/>
        <v>2382.7285999999999</v>
      </c>
      <c r="AI20" s="266">
        <v>2382.7285999999999</v>
      </c>
      <c r="AJ20" s="124">
        <f t="shared" si="3"/>
        <v>0</v>
      </c>
    </row>
    <row r="21" spans="1:36">
      <c r="A21"/>
      <c r="B21" s="113">
        <f t="shared" si="16"/>
        <v>46068</v>
      </c>
      <c r="C21" s="256">
        <f t="shared" si="4"/>
        <v>4781</v>
      </c>
      <c r="D21" s="257">
        <v>4788</v>
      </c>
      <c r="E21" s="15">
        <v>40</v>
      </c>
      <c r="F21" s="124">
        <f t="shared" si="5"/>
        <v>280</v>
      </c>
      <c r="G21" s="261">
        <f t="shared" si="6"/>
        <v>16</v>
      </c>
      <c r="H21" s="261">
        <v>16</v>
      </c>
      <c r="I21" s="15">
        <v>40</v>
      </c>
      <c r="J21" s="124">
        <f t="shared" si="7"/>
        <v>0</v>
      </c>
      <c r="L21" s="126">
        <f t="shared" si="17"/>
        <v>46068</v>
      </c>
      <c r="M21" s="261">
        <f t="shared" si="8"/>
        <v>4917</v>
      </c>
      <c r="N21" s="261">
        <v>4922</v>
      </c>
      <c r="O21" s="15">
        <v>40</v>
      </c>
      <c r="P21" s="124">
        <f t="shared" si="0"/>
        <v>200</v>
      </c>
      <c r="Q21" s="261">
        <f t="shared" si="9"/>
        <v>16</v>
      </c>
      <c r="R21" s="261">
        <v>16</v>
      </c>
      <c r="S21" s="15">
        <v>0</v>
      </c>
      <c r="T21" s="124">
        <f t="shared" si="1"/>
        <v>0</v>
      </c>
      <c r="V21" s="126">
        <f t="shared" si="18"/>
        <v>46068</v>
      </c>
      <c r="W21" s="264">
        <f t="shared" si="10"/>
        <v>78948</v>
      </c>
      <c r="X21" s="263">
        <v>79397</v>
      </c>
      <c r="Y21" s="124">
        <f t="shared" si="11"/>
        <v>449</v>
      </c>
      <c r="Z21" s="263">
        <f t="shared" si="12"/>
        <v>85048</v>
      </c>
      <c r="AA21" s="263">
        <v>85516</v>
      </c>
      <c r="AB21" s="124">
        <f t="shared" si="13"/>
        <v>468</v>
      </c>
      <c r="AD21" s="126">
        <f t="shared" si="19"/>
        <v>46068</v>
      </c>
      <c r="AE21" s="256">
        <f t="shared" si="14"/>
        <v>2592.6835999999998</v>
      </c>
      <c r="AF21" s="256">
        <v>2595.7467999999999</v>
      </c>
      <c r="AG21" s="124">
        <f t="shared" si="2"/>
        <v>3.0632000000000517</v>
      </c>
      <c r="AH21" s="266">
        <f t="shared" si="15"/>
        <v>2382.7285999999999</v>
      </c>
      <c r="AI21" s="266">
        <v>2382.7285999999999</v>
      </c>
      <c r="AJ21" s="124">
        <f t="shared" si="3"/>
        <v>0</v>
      </c>
    </row>
    <row r="22" spans="1:36">
      <c r="A22"/>
      <c r="B22" s="113">
        <f t="shared" si="16"/>
        <v>46069</v>
      </c>
      <c r="C22" s="256">
        <f t="shared" si="4"/>
        <v>4788</v>
      </c>
      <c r="D22" s="257">
        <v>4796</v>
      </c>
      <c r="E22" s="15">
        <v>40</v>
      </c>
      <c r="F22" s="124">
        <f t="shared" si="5"/>
        <v>320</v>
      </c>
      <c r="G22" s="261">
        <f t="shared" si="6"/>
        <v>16</v>
      </c>
      <c r="H22" s="261">
        <v>16</v>
      </c>
      <c r="I22" s="15">
        <v>40</v>
      </c>
      <c r="J22" s="124">
        <f t="shared" si="7"/>
        <v>0</v>
      </c>
      <c r="L22" s="126">
        <f t="shared" si="17"/>
        <v>46069</v>
      </c>
      <c r="M22" s="261">
        <f t="shared" si="8"/>
        <v>4922</v>
      </c>
      <c r="N22" s="261">
        <v>4930</v>
      </c>
      <c r="O22" s="15">
        <v>40</v>
      </c>
      <c r="P22" s="124">
        <f t="shared" si="0"/>
        <v>320</v>
      </c>
      <c r="Q22" s="261">
        <f t="shared" si="9"/>
        <v>16</v>
      </c>
      <c r="R22" s="261">
        <v>16</v>
      </c>
      <c r="S22" s="15">
        <v>0</v>
      </c>
      <c r="T22" s="124">
        <f t="shared" si="1"/>
        <v>0</v>
      </c>
      <c r="V22" s="126">
        <f t="shared" si="18"/>
        <v>46069</v>
      </c>
      <c r="W22" s="264">
        <f t="shared" si="10"/>
        <v>79397</v>
      </c>
      <c r="X22" s="263">
        <v>79816</v>
      </c>
      <c r="Y22" s="124">
        <f t="shared" si="11"/>
        <v>419</v>
      </c>
      <c r="Z22" s="263">
        <f t="shared" si="12"/>
        <v>85516</v>
      </c>
      <c r="AA22" s="263">
        <v>85967</v>
      </c>
      <c r="AB22" s="124">
        <f t="shared" si="13"/>
        <v>451</v>
      </c>
      <c r="AD22" s="126">
        <f t="shared" si="19"/>
        <v>46069</v>
      </c>
      <c r="AE22" s="256">
        <f t="shared" si="14"/>
        <v>2595.7467999999999</v>
      </c>
      <c r="AF22" s="256">
        <v>2600.2302</v>
      </c>
      <c r="AG22" s="124">
        <f t="shared" si="2"/>
        <v>4.4834000000000742</v>
      </c>
      <c r="AH22" s="266">
        <f t="shared" si="15"/>
        <v>2382.7285999999999</v>
      </c>
      <c r="AI22" s="266">
        <v>2382.7285999999999</v>
      </c>
      <c r="AJ22" s="124">
        <f t="shared" si="3"/>
        <v>0</v>
      </c>
    </row>
    <row r="23" spans="1:36">
      <c r="A23"/>
      <c r="B23" s="113">
        <f t="shared" si="16"/>
        <v>46070</v>
      </c>
      <c r="C23" s="256">
        <f t="shared" si="4"/>
        <v>4796</v>
      </c>
      <c r="D23" s="257">
        <v>4801</v>
      </c>
      <c r="E23" s="15">
        <v>40</v>
      </c>
      <c r="F23" s="124">
        <f t="shared" si="5"/>
        <v>200</v>
      </c>
      <c r="G23" s="261">
        <f t="shared" si="6"/>
        <v>16</v>
      </c>
      <c r="H23" s="261">
        <v>16</v>
      </c>
      <c r="I23" s="15">
        <v>40</v>
      </c>
      <c r="J23" s="124">
        <f t="shared" si="7"/>
        <v>0</v>
      </c>
      <c r="L23" s="126">
        <f t="shared" si="17"/>
        <v>46070</v>
      </c>
      <c r="M23" s="261">
        <f t="shared" si="8"/>
        <v>4930</v>
      </c>
      <c r="N23" s="261">
        <v>4935</v>
      </c>
      <c r="O23" s="15">
        <v>40</v>
      </c>
      <c r="P23" s="124">
        <f t="shared" si="0"/>
        <v>200</v>
      </c>
      <c r="Q23" s="261">
        <f t="shared" si="9"/>
        <v>16</v>
      </c>
      <c r="R23" s="261">
        <v>16</v>
      </c>
      <c r="S23" s="15">
        <v>0</v>
      </c>
      <c r="T23" s="124">
        <f t="shared" si="1"/>
        <v>0</v>
      </c>
      <c r="V23" s="126">
        <f t="shared" si="18"/>
        <v>46070</v>
      </c>
      <c r="W23" s="264">
        <f t="shared" si="10"/>
        <v>79816</v>
      </c>
      <c r="X23" s="263"/>
      <c r="Y23" s="124">
        <f t="shared" ref="Y23:Y34" si="20">X23-W23</f>
        <v>-79816</v>
      </c>
      <c r="Z23" s="263">
        <f t="shared" si="12"/>
        <v>85967</v>
      </c>
      <c r="AA23" s="263"/>
      <c r="AB23" s="124">
        <f t="shared" si="13"/>
        <v>-85967</v>
      </c>
      <c r="AD23" s="126">
        <f t="shared" si="19"/>
        <v>46070</v>
      </c>
      <c r="AE23" s="256">
        <f t="shared" si="14"/>
        <v>2600.2302</v>
      </c>
      <c r="AF23" s="256">
        <v>2603.7626</v>
      </c>
      <c r="AG23" s="124">
        <f t="shared" si="2"/>
        <v>3.5324000000000524</v>
      </c>
      <c r="AH23" s="266">
        <f t="shared" si="15"/>
        <v>2382.7285999999999</v>
      </c>
      <c r="AI23" s="266">
        <v>2382.7285999999999</v>
      </c>
      <c r="AJ23" s="124">
        <f t="shared" si="3"/>
        <v>0</v>
      </c>
    </row>
    <row r="24" spans="1:36">
      <c r="A24"/>
      <c r="B24" s="113">
        <f t="shared" si="16"/>
        <v>46071</v>
      </c>
      <c r="C24" s="256">
        <f t="shared" si="4"/>
        <v>4801</v>
      </c>
      <c r="D24" s="257">
        <v>4804</v>
      </c>
      <c r="E24" s="15">
        <v>40</v>
      </c>
      <c r="F24" s="124">
        <f t="shared" si="5"/>
        <v>120</v>
      </c>
      <c r="G24" s="261">
        <f t="shared" si="6"/>
        <v>16</v>
      </c>
      <c r="H24" s="261">
        <v>16</v>
      </c>
      <c r="I24" s="15">
        <v>40</v>
      </c>
      <c r="J24" s="124">
        <f t="shared" si="7"/>
        <v>0</v>
      </c>
      <c r="L24" s="126">
        <f t="shared" si="17"/>
        <v>46071</v>
      </c>
      <c r="M24" s="261">
        <f t="shared" si="8"/>
        <v>4935</v>
      </c>
      <c r="N24" s="261">
        <v>4940</v>
      </c>
      <c r="O24" s="15">
        <v>40</v>
      </c>
      <c r="P24" s="124">
        <f t="shared" si="0"/>
        <v>200</v>
      </c>
      <c r="Q24" s="261">
        <f t="shared" si="9"/>
        <v>16</v>
      </c>
      <c r="R24" s="261">
        <v>16</v>
      </c>
      <c r="S24" s="15">
        <v>0</v>
      </c>
      <c r="T24" s="124">
        <f t="shared" si="1"/>
        <v>0</v>
      </c>
      <c r="V24" s="126">
        <f t="shared" si="18"/>
        <v>46071</v>
      </c>
      <c r="W24" s="264">
        <f t="shared" si="10"/>
        <v>0</v>
      </c>
      <c r="X24" s="263">
        <v>80092</v>
      </c>
      <c r="Y24" s="124">
        <f t="shared" si="20"/>
        <v>80092</v>
      </c>
      <c r="Z24" s="263">
        <f t="shared" si="12"/>
        <v>0</v>
      </c>
      <c r="AA24" s="263">
        <v>86285</v>
      </c>
      <c r="AB24" s="124">
        <f t="shared" si="13"/>
        <v>86285</v>
      </c>
      <c r="AD24" s="126">
        <f t="shared" si="19"/>
        <v>46071</v>
      </c>
      <c r="AE24" s="256">
        <f t="shared" si="14"/>
        <v>2603.7626</v>
      </c>
      <c r="AF24" s="256">
        <v>2606.125</v>
      </c>
      <c r="AG24" s="124">
        <f t="shared" si="2"/>
        <v>2.3623999999999796</v>
      </c>
      <c r="AH24" s="266">
        <f t="shared" si="15"/>
        <v>2382.7285999999999</v>
      </c>
      <c r="AI24" s="266">
        <v>2382.7285999999999</v>
      </c>
      <c r="AJ24" s="124">
        <f t="shared" si="3"/>
        <v>0</v>
      </c>
    </row>
    <row r="25" spans="1:36">
      <c r="A25"/>
      <c r="B25" s="113">
        <f t="shared" si="16"/>
        <v>46072</v>
      </c>
      <c r="C25" s="256">
        <f t="shared" si="4"/>
        <v>4804</v>
      </c>
      <c r="D25" s="257">
        <v>4811</v>
      </c>
      <c r="E25" s="15">
        <v>40</v>
      </c>
      <c r="F25" s="124">
        <f t="shared" si="5"/>
        <v>280</v>
      </c>
      <c r="G25" s="261">
        <f t="shared" si="6"/>
        <v>16</v>
      </c>
      <c r="H25" s="261">
        <v>16</v>
      </c>
      <c r="I25" s="15">
        <v>40</v>
      </c>
      <c r="J25" s="124">
        <f t="shared" si="7"/>
        <v>0</v>
      </c>
      <c r="L25" s="126">
        <f t="shared" si="17"/>
        <v>46072</v>
      </c>
      <c r="M25" s="261">
        <f t="shared" si="8"/>
        <v>4940</v>
      </c>
      <c r="N25" s="261">
        <v>4947</v>
      </c>
      <c r="O25" s="15">
        <v>40</v>
      </c>
      <c r="P25" s="124">
        <f t="shared" si="0"/>
        <v>280</v>
      </c>
      <c r="Q25" s="261">
        <f t="shared" si="9"/>
        <v>16</v>
      </c>
      <c r="R25" s="261">
        <v>16</v>
      </c>
      <c r="S25" s="15">
        <v>0</v>
      </c>
      <c r="T25" s="124">
        <f t="shared" si="1"/>
        <v>0</v>
      </c>
      <c r="V25" s="126">
        <f t="shared" si="18"/>
        <v>46072</v>
      </c>
      <c r="W25" s="264">
        <f t="shared" si="10"/>
        <v>80092</v>
      </c>
      <c r="X25" s="263">
        <v>80532</v>
      </c>
      <c r="Y25" s="124">
        <f t="shared" si="20"/>
        <v>440</v>
      </c>
      <c r="Z25" s="263">
        <f t="shared" si="12"/>
        <v>86285</v>
      </c>
      <c r="AA25" s="263">
        <v>86711</v>
      </c>
      <c r="AB25" s="124">
        <f t="shared" si="13"/>
        <v>426</v>
      </c>
      <c r="AD25" s="126">
        <f t="shared" si="19"/>
        <v>46072</v>
      </c>
      <c r="AE25" s="256">
        <f t="shared" si="14"/>
        <v>2606.125</v>
      </c>
      <c r="AF25" s="256">
        <v>2610.2896000000001</v>
      </c>
      <c r="AG25" s="124">
        <f t="shared" si="2"/>
        <v>4.164600000000064</v>
      </c>
      <c r="AH25" s="266">
        <f t="shared" si="15"/>
        <v>2382.7285999999999</v>
      </c>
      <c r="AI25" s="266">
        <v>2382.7285999999999</v>
      </c>
      <c r="AJ25" s="124">
        <f t="shared" si="3"/>
        <v>0</v>
      </c>
    </row>
    <row r="26" spans="1:36">
      <c r="A26"/>
      <c r="B26" s="113">
        <f t="shared" si="16"/>
        <v>46073</v>
      </c>
      <c r="C26" s="256">
        <f t="shared" si="4"/>
        <v>4811</v>
      </c>
      <c r="D26" s="257">
        <v>4819</v>
      </c>
      <c r="E26" s="15">
        <v>40</v>
      </c>
      <c r="F26" s="124">
        <f t="shared" si="5"/>
        <v>320</v>
      </c>
      <c r="G26" s="261">
        <f t="shared" si="6"/>
        <v>16</v>
      </c>
      <c r="H26" s="261">
        <v>16</v>
      </c>
      <c r="I26" s="15">
        <v>40</v>
      </c>
      <c r="J26" s="124">
        <f t="shared" si="7"/>
        <v>0</v>
      </c>
      <c r="L26" s="126">
        <f t="shared" si="17"/>
        <v>46073</v>
      </c>
      <c r="M26" s="261">
        <f t="shared" si="8"/>
        <v>4947</v>
      </c>
      <c r="N26" s="261">
        <v>4955</v>
      </c>
      <c r="O26" s="15">
        <v>40</v>
      </c>
      <c r="P26" s="124">
        <f t="shared" si="0"/>
        <v>320</v>
      </c>
      <c r="Q26" s="261">
        <f t="shared" si="9"/>
        <v>16</v>
      </c>
      <c r="R26" s="261">
        <v>16</v>
      </c>
      <c r="S26" s="15">
        <v>0</v>
      </c>
      <c r="T26" s="124">
        <f t="shared" si="1"/>
        <v>0</v>
      </c>
      <c r="V26" s="126">
        <f t="shared" si="18"/>
        <v>46073</v>
      </c>
      <c r="W26" s="264">
        <f t="shared" si="10"/>
        <v>80532</v>
      </c>
      <c r="X26" s="263">
        <v>80990</v>
      </c>
      <c r="Y26" s="124">
        <f t="shared" si="20"/>
        <v>458</v>
      </c>
      <c r="Z26" s="263">
        <f t="shared" si="12"/>
        <v>86711</v>
      </c>
      <c r="AA26" s="263">
        <v>87196</v>
      </c>
      <c r="AB26" s="124">
        <f t="shared" si="13"/>
        <v>485</v>
      </c>
      <c r="AD26" s="126">
        <f t="shared" si="19"/>
        <v>46073</v>
      </c>
      <c r="AE26" s="256">
        <f t="shared" si="14"/>
        <v>2610.2896000000001</v>
      </c>
      <c r="AF26" s="256">
        <v>2614.6504</v>
      </c>
      <c r="AG26" s="124">
        <f t="shared" si="2"/>
        <v>4.3607999999999265</v>
      </c>
      <c r="AH26" s="266">
        <f t="shared" si="15"/>
        <v>2382.7285999999999</v>
      </c>
      <c r="AI26" s="266">
        <v>2382.7285999999999</v>
      </c>
      <c r="AJ26" s="124">
        <f t="shared" si="3"/>
        <v>0</v>
      </c>
    </row>
    <row r="27" spans="1:36">
      <c r="A27"/>
      <c r="B27" s="113">
        <f t="shared" si="16"/>
        <v>46074</v>
      </c>
      <c r="C27" s="256">
        <f t="shared" si="4"/>
        <v>4819</v>
      </c>
      <c r="D27" s="257">
        <v>4826</v>
      </c>
      <c r="E27" s="15">
        <v>40</v>
      </c>
      <c r="F27" s="124">
        <f t="shared" si="5"/>
        <v>280</v>
      </c>
      <c r="G27" s="261">
        <f t="shared" si="6"/>
        <v>16</v>
      </c>
      <c r="H27" s="261">
        <v>16</v>
      </c>
      <c r="I27" s="15">
        <v>40</v>
      </c>
      <c r="J27" s="124">
        <f t="shared" si="7"/>
        <v>0</v>
      </c>
      <c r="L27" s="126">
        <f t="shared" si="17"/>
        <v>46074</v>
      </c>
      <c r="M27" s="261">
        <f t="shared" si="8"/>
        <v>4955</v>
      </c>
      <c r="N27" s="261">
        <v>4963</v>
      </c>
      <c r="O27" s="15">
        <v>40</v>
      </c>
      <c r="P27" s="124">
        <f t="shared" si="0"/>
        <v>320</v>
      </c>
      <c r="Q27" s="261">
        <f t="shared" si="9"/>
        <v>16</v>
      </c>
      <c r="R27" s="261">
        <v>16</v>
      </c>
      <c r="S27" s="15">
        <v>0</v>
      </c>
      <c r="T27" s="124">
        <f t="shared" si="1"/>
        <v>0</v>
      </c>
      <c r="V27" s="126">
        <f t="shared" si="18"/>
        <v>46074</v>
      </c>
      <c r="W27" s="264">
        <f t="shared" si="10"/>
        <v>80990</v>
      </c>
      <c r="X27" s="263">
        <v>81443</v>
      </c>
      <c r="Y27" s="124">
        <f t="shared" si="20"/>
        <v>453</v>
      </c>
      <c r="Z27" s="263">
        <f t="shared" si="12"/>
        <v>87196</v>
      </c>
      <c r="AA27" s="263">
        <v>87686</v>
      </c>
      <c r="AB27" s="124">
        <f t="shared" si="13"/>
        <v>490</v>
      </c>
      <c r="AD27" s="126">
        <f t="shared" si="19"/>
        <v>46074</v>
      </c>
      <c r="AE27" s="256">
        <f t="shared" si="14"/>
        <v>2614.6504</v>
      </c>
      <c r="AF27" s="256">
        <v>2618.8200000000002</v>
      </c>
      <c r="AG27" s="124">
        <f t="shared" si="2"/>
        <v>4.1696000000001732</v>
      </c>
      <c r="AH27" s="266">
        <f t="shared" si="15"/>
        <v>2382.7285999999999</v>
      </c>
      <c r="AI27" s="266">
        <v>2382.7285999999999</v>
      </c>
      <c r="AJ27" s="124">
        <f t="shared" si="3"/>
        <v>0</v>
      </c>
    </row>
    <row r="28" spans="1:36">
      <c r="A28"/>
      <c r="B28" s="113">
        <f t="shared" si="16"/>
        <v>46075</v>
      </c>
      <c r="C28" s="256">
        <f t="shared" si="4"/>
        <v>4826</v>
      </c>
      <c r="D28" s="257">
        <v>4834</v>
      </c>
      <c r="E28" s="15">
        <v>40</v>
      </c>
      <c r="F28" s="124">
        <f t="shared" si="5"/>
        <v>320</v>
      </c>
      <c r="G28" s="261">
        <f t="shared" si="6"/>
        <v>16</v>
      </c>
      <c r="H28" s="261">
        <v>16</v>
      </c>
      <c r="I28" s="15">
        <v>40</v>
      </c>
      <c r="J28" s="124">
        <f t="shared" si="7"/>
        <v>0</v>
      </c>
      <c r="L28" s="126">
        <f t="shared" si="17"/>
        <v>46075</v>
      </c>
      <c r="M28" s="261">
        <f t="shared" si="8"/>
        <v>4963</v>
      </c>
      <c r="N28" s="261">
        <v>4971</v>
      </c>
      <c r="O28" s="15">
        <v>40</v>
      </c>
      <c r="P28" s="124">
        <f t="shared" si="0"/>
        <v>320</v>
      </c>
      <c r="Q28" s="261">
        <f t="shared" si="9"/>
        <v>16</v>
      </c>
      <c r="R28" s="261">
        <v>16</v>
      </c>
      <c r="S28" s="15">
        <v>0</v>
      </c>
      <c r="T28" s="124">
        <f t="shared" si="1"/>
        <v>0</v>
      </c>
      <c r="V28" s="126">
        <f t="shared" si="18"/>
        <v>46075</v>
      </c>
      <c r="W28" s="264">
        <f t="shared" si="10"/>
        <v>81443</v>
      </c>
      <c r="X28" s="263">
        <v>81888</v>
      </c>
      <c r="Y28" s="124">
        <f t="shared" si="20"/>
        <v>445</v>
      </c>
      <c r="Z28" s="263">
        <f t="shared" si="12"/>
        <v>87686</v>
      </c>
      <c r="AA28" s="263">
        <v>88164</v>
      </c>
      <c r="AB28" s="124">
        <f t="shared" si="13"/>
        <v>478</v>
      </c>
      <c r="AD28" s="126">
        <f t="shared" si="19"/>
        <v>46075</v>
      </c>
      <c r="AE28" s="256">
        <f t="shared" si="14"/>
        <v>2618.8200000000002</v>
      </c>
      <c r="AF28" s="256">
        <v>2622.95</v>
      </c>
      <c r="AG28" s="124">
        <f t="shared" si="2"/>
        <v>4.1299999999996544</v>
      </c>
      <c r="AH28" s="266">
        <f t="shared" si="15"/>
        <v>2382.7285999999999</v>
      </c>
      <c r="AI28" s="266">
        <v>2382.7285999999999</v>
      </c>
      <c r="AJ28" s="124">
        <f t="shared" si="3"/>
        <v>0</v>
      </c>
    </row>
    <row r="29" spans="1:36">
      <c r="A29"/>
      <c r="B29" s="113">
        <f t="shared" si="16"/>
        <v>46076</v>
      </c>
      <c r="C29" s="256">
        <f t="shared" si="4"/>
        <v>4834</v>
      </c>
      <c r="D29" s="257">
        <v>4842</v>
      </c>
      <c r="E29" s="15">
        <v>40</v>
      </c>
      <c r="F29" s="124">
        <f t="shared" si="5"/>
        <v>320</v>
      </c>
      <c r="G29" s="261">
        <f t="shared" si="6"/>
        <v>16</v>
      </c>
      <c r="H29" s="261">
        <v>16</v>
      </c>
      <c r="I29" s="15">
        <v>40</v>
      </c>
      <c r="J29" s="124">
        <f t="shared" si="7"/>
        <v>0</v>
      </c>
      <c r="L29" s="126">
        <f t="shared" si="17"/>
        <v>46076</v>
      </c>
      <c r="M29" s="261">
        <f t="shared" si="8"/>
        <v>4971</v>
      </c>
      <c r="N29" s="261">
        <v>4979</v>
      </c>
      <c r="O29" s="15">
        <v>40</v>
      </c>
      <c r="P29" s="124">
        <f t="shared" si="0"/>
        <v>320</v>
      </c>
      <c r="Q29" s="261">
        <f t="shared" si="9"/>
        <v>16</v>
      </c>
      <c r="R29" s="261">
        <v>16</v>
      </c>
      <c r="S29" s="15">
        <v>0</v>
      </c>
      <c r="T29" s="124">
        <f t="shared" si="1"/>
        <v>0</v>
      </c>
      <c r="V29" s="126">
        <f t="shared" si="18"/>
        <v>46076</v>
      </c>
      <c r="W29" s="264">
        <f t="shared" si="10"/>
        <v>81888</v>
      </c>
      <c r="X29" s="263">
        <v>82313</v>
      </c>
      <c r="Y29" s="124">
        <f t="shared" si="20"/>
        <v>425</v>
      </c>
      <c r="Z29" s="263">
        <f t="shared" si="12"/>
        <v>88164</v>
      </c>
      <c r="AA29" s="263">
        <v>88619</v>
      </c>
      <c r="AB29" s="124">
        <f t="shared" si="13"/>
        <v>455</v>
      </c>
      <c r="AD29" s="126">
        <f t="shared" si="19"/>
        <v>46076</v>
      </c>
      <c r="AE29" s="256">
        <f t="shared" si="14"/>
        <v>2622.95</v>
      </c>
      <c r="AF29" s="256">
        <v>2626.6646000000001</v>
      </c>
      <c r="AG29" s="124">
        <f t="shared" si="2"/>
        <v>3.7146000000002459</v>
      </c>
      <c r="AH29" s="266">
        <f t="shared" si="15"/>
        <v>2382.7285999999999</v>
      </c>
      <c r="AI29" s="266">
        <v>2382.7285999999999</v>
      </c>
      <c r="AJ29" s="124">
        <f t="shared" si="3"/>
        <v>0</v>
      </c>
    </row>
    <row r="30" spans="1:36">
      <c r="A30"/>
      <c r="B30" s="113">
        <f t="shared" si="16"/>
        <v>46077</v>
      </c>
      <c r="C30" s="256">
        <f t="shared" si="4"/>
        <v>4842</v>
      </c>
      <c r="D30" s="257">
        <v>4847</v>
      </c>
      <c r="E30" s="15">
        <v>40</v>
      </c>
      <c r="F30" s="124">
        <f t="shared" si="5"/>
        <v>200</v>
      </c>
      <c r="G30" s="261">
        <f t="shared" si="6"/>
        <v>16</v>
      </c>
      <c r="H30" s="261">
        <v>16</v>
      </c>
      <c r="I30" s="15">
        <v>40</v>
      </c>
      <c r="J30" s="124">
        <f t="shared" si="7"/>
        <v>0</v>
      </c>
      <c r="L30" s="126">
        <f t="shared" si="17"/>
        <v>46077</v>
      </c>
      <c r="M30" s="261">
        <f t="shared" si="8"/>
        <v>4979</v>
      </c>
      <c r="N30" s="261">
        <v>4984</v>
      </c>
      <c r="O30" s="15">
        <v>40</v>
      </c>
      <c r="P30" s="124">
        <f t="shared" si="0"/>
        <v>200</v>
      </c>
      <c r="Q30" s="261">
        <f t="shared" si="9"/>
        <v>16</v>
      </c>
      <c r="R30" s="261">
        <v>16</v>
      </c>
      <c r="S30" s="15">
        <v>0</v>
      </c>
      <c r="T30" s="124">
        <f t="shared" si="1"/>
        <v>0</v>
      </c>
      <c r="V30" s="126">
        <f t="shared" si="18"/>
        <v>46077</v>
      </c>
      <c r="W30" s="264">
        <f t="shared" si="10"/>
        <v>82313</v>
      </c>
      <c r="X30" s="263">
        <v>82640</v>
      </c>
      <c r="Y30" s="124">
        <f t="shared" si="20"/>
        <v>327</v>
      </c>
      <c r="Z30" s="263">
        <f t="shared" si="12"/>
        <v>88619</v>
      </c>
      <c r="AA30" s="263">
        <v>88972</v>
      </c>
      <c r="AB30" s="124">
        <f t="shared" si="13"/>
        <v>353</v>
      </c>
      <c r="AD30" s="126">
        <f t="shared" si="19"/>
        <v>46077</v>
      </c>
      <c r="AE30" s="256">
        <f t="shared" si="14"/>
        <v>2626.6646000000001</v>
      </c>
      <c r="AF30" s="256">
        <v>2629.2757999999999</v>
      </c>
      <c r="AG30" s="124">
        <f t="shared" si="2"/>
        <v>2.6111999999998261</v>
      </c>
      <c r="AH30" s="266">
        <f t="shared" si="15"/>
        <v>2382.7285999999999</v>
      </c>
      <c r="AI30" s="266">
        <v>2386.7334000000001</v>
      </c>
      <c r="AJ30" s="124">
        <f t="shared" si="3"/>
        <v>4.0048000000001593</v>
      </c>
    </row>
    <row r="31" spans="1:36">
      <c r="A31"/>
      <c r="B31" s="113">
        <f t="shared" si="16"/>
        <v>46078</v>
      </c>
      <c r="C31" s="256">
        <f t="shared" si="4"/>
        <v>4847</v>
      </c>
      <c r="D31" s="257">
        <v>4850</v>
      </c>
      <c r="E31" s="15">
        <v>40</v>
      </c>
      <c r="F31" s="124">
        <f t="shared" si="5"/>
        <v>120</v>
      </c>
      <c r="G31" s="261">
        <f t="shared" si="6"/>
        <v>16</v>
      </c>
      <c r="H31" s="261">
        <v>16</v>
      </c>
      <c r="I31" s="15">
        <v>40</v>
      </c>
      <c r="J31" s="124">
        <f t="shared" si="7"/>
        <v>0</v>
      </c>
      <c r="L31" s="126">
        <f t="shared" si="17"/>
        <v>46078</v>
      </c>
      <c r="M31" s="261">
        <f t="shared" si="8"/>
        <v>4984</v>
      </c>
      <c r="N31" s="261">
        <v>4987</v>
      </c>
      <c r="O31" s="15">
        <v>40</v>
      </c>
      <c r="P31" s="124">
        <f t="shared" si="0"/>
        <v>120</v>
      </c>
      <c r="Q31" s="261">
        <f t="shared" si="9"/>
        <v>16</v>
      </c>
      <c r="R31" s="261">
        <v>16</v>
      </c>
      <c r="S31" s="15">
        <v>0</v>
      </c>
      <c r="T31" s="124">
        <f t="shared" si="1"/>
        <v>0</v>
      </c>
      <c r="V31" s="126">
        <f t="shared" si="18"/>
        <v>46078</v>
      </c>
      <c r="W31" s="264">
        <f t="shared" si="10"/>
        <v>82640</v>
      </c>
      <c r="X31" s="263">
        <v>82891</v>
      </c>
      <c r="Y31" s="124">
        <f t="shared" si="20"/>
        <v>251</v>
      </c>
      <c r="Z31" s="263">
        <f t="shared" si="12"/>
        <v>88972</v>
      </c>
      <c r="AA31" s="263">
        <v>89225</v>
      </c>
      <c r="AB31" s="124">
        <f t="shared" si="13"/>
        <v>253</v>
      </c>
      <c r="AD31" s="126">
        <f t="shared" si="19"/>
        <v>46078</v>
      </c>
      <c r="AE31" s="256">
        <f t="shared" si="14"/>
        <v>2629.2757999999999</v>
      </c>
      <c r="AF31" s="256">
        <v>2631.3431999999998</v>
      </c>
      <c r="AG31" s="124">
        <f t="shared" si="2"/>
        <v>2.0673999999999069</v>
      </c>
      <c r="AH31" s="266">
        <f t="shared" si="15"/>
        <v>2386.7334000000001</v>
      </c>
      <c r="AI31" s="266">
        <v>2386.7334000000001</v>
      </c>
      <c r="AJ31" s="124">
        <f t="shared" si="3"/>
        <v>0</v>
      </c>
    </row>
    <row r="32" spans="1:36">
      <c r="A32"/>
      <c r="B32" s="113">
        <f t="shared" si="16"/>
        <v>46079</v>
      </c>
      <c r="C32" s="256">
        <f t="shared" si="4"/>
        <v>4850</v>
      </c>
      <c r="D32" s="257">
        <v>4855</v>
      </c>
      <c r="E32" s="15">
        <v>40</v>
      </c>
      <c r="F32" s="124">
        <f t="shared" si="5"/>
        <v>200</v>
      </c>
      <c r="G32" s="261">
        <f t="shared" si="6"/>
        <v>16</v>
      </c>
      <c r="H32" s="261">
        <v>16</v>
      </c>
      <c r="I32" s="15">
        <v>40</v>
      </c>
      <c r="J32" s="124">
        <f t="shared" si="7"/>
        <v>0</v>
      </c>
      <c r="L32" s="126">
        <f t="shared" si="17"/>
        <v>46079</v>
      </c>
      <c r="M32" s="261">
        <f t="shared" si="8"/>
        <v>4987</v>
      </c>
      <c r="N32" s="261">
        <v>4993</v>
      </c>
      <c r="O32" s="15">
        <v>40</v>
      </c>
      <c r="P32" s="124">
        <f t="shared" si="0"/>
        <v>240</v>
      </c>
      <c r="Q32" s="261">
        <f t="shared" si="9"/>
        <v>16</v>
      </c>
      <c r="R32" s="261">
        <v>16</v>
      </c>
      <c r="S32" s="15">
        <v>0</v>
      </c>
      <c r="T32" s="124">
        <f t="shared" si="1"/>
        <v>0</v>
      </c>
      <c r="V32" s="126">
        <f t="shared" si="18"/>
        <v>46079</v>
      </c>
      <c r="W32" s="264">
        <f t="shared" si="10"/>
        <v>82891</v>
      </c>
      <c r="X32" s="263">
        <v>83175</v>
      </c>
      <c r="Y32" s="124">
        <f t="shared" si="20"/>
        <v>284</v>
      </c>
      <c r="Z32" s="263">
        <f t="shared" si="12"/>
        <v>89225</v>
      </c>
      <c r="AA32" s="263">
        <v>89525</v>
      </c>
      <c r="AB32" s="124">
        <f>AA32-Z32</f>
        <v>300</v>
      </c>
      <c r="AD32" s="126">
        <f t="shared" si="19"/>
        <v>46079</v>
      </c>
      <c r="AE32" s="256">
        <f t="shared" si="14"/>
        <v>2631.3431999999998</v>
      </c>
      <c r="AF32" s="256">
        <v>2633.6264000000001</v>
      </c>
      <c r="AG32" s="124">
        <f t="shared" si="2"/>
        <v>2.2832000000003063</v>
      </c>
      <c r="AH32" s="266">
        <f t="shared" si="15"/>
        <v>2386.7334000000001</v>
      </c>
      <c r="AI32" s="266">
        <v>2386.7334000000001</v>
      </c>
      <c r="AJ32" s="124">
        <f t="shared" si="3"/>
        <v>0</v>
      </c>
    </row>
    <row r="33" spans="1:36">
      <c r="A33"/>
      <c r="B33" s="113">
        <f t="shared" si="16"/>
        <v>46080</v>
      </c>
      <c r="C33" s="256">
        <f t="shared" si="4"/>
        <v>4855</v>
      </c>
      <c r="D33" s="257"/>
      <c r="E33" s="15">
        <v>40</v>
      </c>
      <c r="F33" s="124">
        <f t="shared" si="5"/>
        <v>-194200</v>
      </c>
      <c r="G33" s="261">
        <f t="shared" si="6"/>
        <v>16</v>
      </c>
      <c r="H33" s="261"/>
      <c r="I33" s="15">
        <v>40</v>
      </c>
      <c r="J33" s="124">
        <f t="shared" si="7"/>
        <v>-640</v>
      </c>
      <c r="L33" s="126">
        <f t="shared" si="17"/>
        <v>46080</v>
      </c>
      <c r="M33" s="261">
        <f t="shared" si="8"/>
        <v>4993</v>
      </c>
      <c r="N33" s="261"/>
      <c r="O33" s="15">
        <v>40</v>
      </c>
      <c r="P33" s="124">
        <f t="shared" si="0"/>
        <v>-199720</v>
      </c>
      <c r="Q33" s="261">
        <f t="shared" si="9"/>
        <v>16</v>
      </c>
      <c r="R33" s="261"/>
      <c r="S33" s="15">
        <v>0</v>
      </c>
      <c r="T33" s="124">
        <f t="shared" si="1"/>
        <v>0</v>
      </c>
      <c r="V33" s="126">
        <f t="shared" si="18"/>
        <v>46080</v>
      </c>
      <c r="W33" s="264">
        <f t="shared" si="10"/>
        <v>83175</v>
      </c>
      <c r="X33" s="263"/>
      <c r="Y33" s="124">
        <f t="shared" si="20"/>
        <v>-83175</v>
      </c>
      <c r="Z33" s="263">
        <f t="shared" si="12"/>
        <v>89525</v>
      </c>
      <c r="AA33" s="263"/>
      <c r="AB33" s="124">
        <f t="shared" si="13"/>
        <v>-89525</v>
      </c>
      <c r="AD33" s="126">
        <f t="shared" si="19"/>
        <v>46080</v>
      </c>
      <c r="AE33" s="256">
        <f t="shared" si="14"/>
        <v>2633.6264000000001</v>
      </c>
      <c r="AF33" s="256"/>
      <c r="AG33" s="124">
        <f t="shared" si="2"/>
        <v>-2633.6264000000001</v>
      </c>
      <c r="AH33" s="266">
        <f t="shared" si="15"/>
        <v>2386.7334000000001</v>
      </c>
      <c r="AI33" s="266"/>
      <c r="AJ33" s="124">
        <f t="shared" si="3"/>
        <v>-2386.7334000000001</v>
      </c>
    </row>
    <row r="34" spans="1:36">
      <c r="A34"/>
      <c r="B34" s="113">
        <f t="shared" si="16"/>
        <v>46081</v>
      </c>
      <c r="C34" s="256">
        <f t="shared" si="4"/>
        <v>0</v>
      </c>
      <c r="D34" s="257"/>
      <c r="E34" s="15">
        <v>40</v>
      </c>
      <c r="F34" s="124">
        <f t="shared" si="5"/>
        <v>0</v>
      </c>
      <c r="G34" s="261">
        <f t="shared" si="6"/>
        <v>0</v>
      </c>
      <c r="H34" s="261"/>
      <c r="I34" s="15">
        <v>40</v>
      </c>
      <c r="J34" s="124">
        <f t="shared" si="7"/>
        <v>0</v>
      </c>
      <c r="L34" s="126">
        <f t="shared" si="17"/>
        <v>46081</v>
      </c>
      <c r="M34" s="261">
        <f t="shared" si="8"/>
        <v>0</v>
      </c>
      <c r="N34" s="261"/>
      <c r="O34" s="15">
        <v>40</v>
      </c>
      <c r="P34" s="124">
        <f t="shared" si="0"/>
        <v>0</v>
      </c>
      <c r="Q34" s="261">
        <f t="shared" si="9"/>
        <v>0</v>
      </c>
      <c r="R34" s="261"/>
      <c r="S34" s="15">
        <v>0</v>
      </c>
      <c r="T34" s="124">
        <f t="shared" si="1"/>
        <v>0</v>
      </c>
      <c r="V34" s="126">
        <f t="shared" si="18"/>
        <v>46081</v>
      </c>
      <c r="W34" s="264">
        <f t="shared" si="10"/>
        <v>0</v>
      </c>
      <c r="X34" s="263"/>
      <c r="Y34" s="124">
        <f t="shared" si="20"/>
        <v>0</v>
      </c>
      <c r="Z34" s="263">
        <f t="shared" si="12"/>
        <v>0</v>
      </c>
      <c r="AA34" s="263"/>
      <c r="AB34" s="124">
        <f t="shared" si="13"/>
        <v>0</v>
      </c>
      <c r="AD34" s="126">
        <f t="shared" si="19"/>
        <v>46081</v>
      </c>
      <c r="AE34" s="256">
        <f t="shared" si="14"/>
        <v>0</v>
      </c>
      <c r="AF34" s="256"/>
      <c r="AG34" s="124">
        <f t="shared" si="2"/>
        <v>0</v>
      </c>
      <c r="AH34" s="266">
        <f t="shared" si="15"/>
        <v>0</v>
      </c>
      <c r="AI34" s="266"/>
      <c r="AJ34" s="124">
        <f t="shared" si="3"/>
        <v>0</v>
      </c>
    </row>
    <row r="35" spans="1:36">
      <c r="A35"/>
      <c r="B35" s="113">
        <f t="shared" si="16"/>
        <v>46082</v>
      </c>
      <c r="C35" s="256">
        <f t="shared" si="4"/>
        <v>0</v>
      </c>
      <c r="D35" s="257"/>
      <c r="E35" s="15">
        <v>40</v>
      </c>
      <c r="F35" s="124">
        <f t="shared" ref="F35:F37" si="21">E35*(D35-C35)</f>
        <v>0</v>
      </c>
      <c r="G35" s="261">
        <f t="shared" si="6"/>
        <v>0</v>
      </c>
      <c r="H35" s="261"/>
      <c r="I35" s="15">
        <v>40</v>
      </c>
      <c r="J35" s="124">
        <f t="shared" ref="J35:J37" si="22">I35*(H35-G35)</f>
        <v>0</v>
      </c>
      <c r="L35" s="126">
        <f t="shared" si="17"/>
        <v>46082</v>
      </c>
      <c r="M35" s="261">
        <f t="shared" si="8"/>
        <v>0</v>
      </c>
      <c r="N35" s="261"/>
      <c r="O35" s="15">
        <v>40</v>
      </c>
      <c r="P35" s="124">
        <f t="shared" si="0"/>
        <v>0</v>
      </c>
      <c r="Q35" s="261">
        <f t="shared" si="9"/>
        <v>0</v>
      </c>
      <c r="R35" s="261"/>
      <c r="S35" s="15">
        <v>0</v>
      </c>
      <c r="T35" s="124">
        <f t="shared" ref="T35:T37" si="23">S35*(R35-Q35)</f>
        <v>0</v>
      </c>
      <c r="V35" s="126">
        <f t="shared" si="18"/>
        <v>46082</v>
      </c>
      <c r="W35" s="264">
        <f t="shared" si="10"/>
        <v>0</v>
      </c>
      <c r="X35" s="263"/>
      <c r="Y35" s="124">
        <f t="shared" ref="Y35:Y37" si="24">X35-W35</f>
        <v>0</v>
      </c>
      <c r="Z35" s="263">
        <f t="shared" si="12"/>
        <v>0</v>
      </c>
      <c r="AA35" s="263"/>
      <c r="AB35" s="124">
        <f t="shared" ref="AB35:AB37" si="25">AA35-Z35</f>
        <v>0</v>
      </c>
      <c r="AD35" s="126">
        <f t="shared" si="19"/>
        <v>46082</v>
      </c>
      <c r="AE35" s="256">
        <f t="shared" si="14"/>
        <v>0</v>
      </c>
      <c r="AF35" s="256"/>
      <c r="AG35" s="124">
        <f t="shared" ref="AG35:AG37" si="26">AF35-AE35</f>
        <v>0</v>
      </c>
      <c r="AH35" s="266">
        <f t="shared" si="15"/>
        <v>0</v>
      </c>
      <c r="AI35" s="266"/>
      <c r="AJ35" s="124">
        <f t="shared" ref="AJ35:AJ37" si="27">AI35-AH35</f>
        <v>0</v>
      </c>
    </row>
    <row r="36" spans="1:36">
      <c r="A36"/>
      <c r="B36" s="113">
        <f t="shared" si="16"/>
        <v>46083</v>
      </c>
      <c r="C36" s="256">
        <f t="shared" si="4"/>
        <v>0</v>
      </c>
      <c r="D36" s="257"/>
      <c r="E36" s="15">
        <v>40</v>
      </c>
      <c r="F36" s="124">
        <f t="shared" si="21"/>
        <v>0</v>
      </c>
      <c r="G36" s="261">
        <f t="shared" si="6"/>
        <v>0</v>
      </c>
      <c r="H36" s="261"/>
      <c r="I36" s="15">
        <v>40</v>
      </c>
      <c r="J36" s="124">
        <f t="shared" si="22"/>
        <v>0</v>
      </c>
      <c r="L36" s="126">
        <f t="shared" si="17"/>
        <v>46083</v>
      </c>
      <c r="M36" s="261">
        <f t="shared" si="8"/>
        <v>0</v>
      </c>
      <c r="N36" s="261"/>
      <c r="O36" s="15">
        <v>40</v>
      </c>
      <c r="P36" s="124">
        <f t="shared" si="0"/>
        <v>0</v>
      </c>
      <c r="Q36" s="261">
        <f t="shared" si="9"/>
        <v>0</v>
      </c>
      <c r="R36" s="261"/>
      <c r="S36" s="15">
        <v>0</v>
      </c>
      <c r="T36" s="124">
        <f t="shared" si="23"/>
        <v>0</v>
      </c>
      <c r="V36" s="126">
        <f t="shared" si="18"/>
        <v>46083</v>
      </c>
      <c r="W36" s="264">
        <f t="shared" si="10"/>
        <v>0</v>
      </c>
      <c r="X36" s="263"/>
      <c r="Y36" s="124">
        <f t="shared" si="24"/>
        <v>0</v>
      </c>
      <c r="Z36" s="263">
        <f t="shared" si="12"/>
        <v>0</v>
      </c>
      <c r="AA36" s="263"/>
      <c r="AB36" s="124">
        <f t="shared" si="25"/>
        <v>0</v>
      </c>
      <c r="AD36" s="126">
        <f t="shared" si="19"/>
        <v>46083</v>
      </c>
      <c r="AE36" s="256">
        <f t="shared" si="14"/>
        <v>0</v>
      </c>
      <c r="AF36" s="256"/>
      <c r="AG36" s="124">
        <f t="shared" si="26"/>
        <v>0</v>
      </c>
      <c r="AH36" s="266">
        <f t="shared" si="15"/>
        <v>0</v>
      </c>
      <c r="AI36" s="266"/>
      <c r="AJ36" s="124">
        <f t="shared" si="27"/>
        <v>0</v>
      </c>
    </row>
    <row r="37" spans="1:36" ht="15.75" thickBot="1">
      <c r="A37"/>
      <c r="B37" s="114">
        <f t="shared" si="16"/>
        <v>46084</v>
      </c>
      <c r="C37" s="256">
        <f t="shared" si="4"/>
        <v>0</v>
      </c>
      <c r="D37" s="259"/>
      <c r="E37" s="260">
        <v>40</v>
      </c>
      <c r="F37" s="125">
        <f t="shared" si="21"/>
        <v>0</v>
      </c>
      <c r="G37" s="261">
        <f t="shared" si="6"/>
        <v>0</v>
      </c>
      <c r="H37" s="261"/>
      <c r="I37" s="260">
        <v>40</v>
      </c>
      <c r="J37" s="125">
        <f t="shared" si="22"/>
        <v>0</v>
      </c>
      <c r="L37" s="127">
        <f t="shared" si="17"/>
        <v>46084</v>
      </c>
      <c r="M37" s="261">
        <f t="shared" si="8"/>
        <v>0</v>
      </c>
      <c r="N37" s="262"/>
      <c r="O37" s="260">
        <v>40</v>
      </c>
      <c r="P37" s="125">
        <f t="shared" si="0"/>
        <v>0</v>
      </c>
      <c r="Q37" s="261">
        <f t="shared" si="9"/>
        <v>0</v>
      </c>
      <c r="R37" s="261"/>
      <c r="S37" s="260">
        <v>0</v>
      </c>
      <c r="T37" s="125">
        <f t="shared" si="23"/>
        <v>0</v>
      </c>
      <c r="V37" s="127">
        <f t="shared" si="18"/>
        <v>46084</v>
      </c>
      <c r="W37" s="264">
        <f t="shared" si="10"/>
        <v>0</v>
      </c>
      <c r="X37" s="265"/>
      <c r="Y37" s="125">
        <f t="shared" si="24"/>
        <v>0</v>
      </c>
      <c r="Z37" s="263">
        <f t="shared" si="12"/>
        <v>0</v>
      </c>
      <c r="AA37" s="265"/>
      <c r="AB37" s="125">
        <f t="shared" si="25"/>
        <v>0</v>
      </c>
      <c r="AD37" s="127">
        <f t="shared" si="19"/>
        <v>46084</v>
      </c>
      <c r="AE37" s="256">
        <f t="shared" si="14"/>
        <v>0</v>
      </c>
      <c r="AF37" s="258"/>
      <c r="AG37" s="125">
        <f t="shared" si="26"/>
        <v>0</v>
      </c>
      <c r="AH37" s="266">
        <f t="shared" si="15"/>
        <v>0</v>
      </c>
      <c r="AI37" s="266"/>
      <c r="AJ37" s="125">
        <f t="shared" si="27"/>
        <v>0</v>
      </c>
    </row>
    <row r="38" spans="1:36" ht="27" customHeight="1" thickBot="1">
      <c r="B38" s="95" t="s">
        <v>111</v>
      </c>
      <c r="C38" s="117"/>
      <c r="D38" s="117"/>
      <c r="E38" s="117"/>
      <c r="F38" s="120">
        <f>SUMIF(F6:F37, "&gt;=0")</f>
        <v>6640</v>
      </c>
      <c r="G38" s="117"/>
      <c r="H38" s="117"/>
      <c r="I38" s="117"/>
      <c r="J38" s="121">
        <f>SUMIF(J6:J37, "&gt;=0")</f>
        <v>80</v>
      </c>
      <c r="L38" s="116"/>
      <c r="M38" s="117"/>
      <c r="N38" s="117"/>
      <c r="O38" s="117"/>
      <c r="P38" s="120">
        <f>SUMIF(P6:P37, "&gt;=0")</f>
        <v>6960</v>
      </c>
      <c r="Q38" s="117"/>
      <c r="R38" s="117"/>
      <c r="S38" s="117"/>
      <c r="T38" s="121">
        <f>SUMIF(T6:T37, "&gt;=0")</f>
        <v>0</v>
      </c>
      <c r="V38" s="119"/>
      <c r="W38" s="118"/>
      <c r="X38" s="118"/>
      <c r="Y38" s="120">
        <f>SUMIF(Y6:Y37, "&gt;=0")</f>
        <v>89894</v>
      </c>
      <c r="Z38" s="118"/>
      <c r="AA38" s="118"/>
      <c r="AB38" s="121">
        <f>SUMIF(AB6:AB37, "&gt;=0")</f>
        <v>96612</v>
      </c>
      <c r="AD38" s="119"/>
      <c r="AE38" s="118"/>
      <c r="AF38" s="118"/>
      <c r="AG38" s="120">
        <f>SUMIF(AG6:AG37, "&gt;=0")</f>
        <v>90.657799999999952</v>
      </c>
      <c r="AH38" s="118"/>
      <c r="AI38" s="118"/>
      <c r="AJ38" s="121">
        <f>SUMIF(AJ6:AJ37, "&gt;=0")</f>
        <v>278.99340000000029</v>
      </c>
    </row>
    <row r="39" spans="1:36"/>
    <row r="40" spans="1:36"/>
    <row r="41" spans="1:36"/>
    <row r="42" spans="1:36"/>
    <row r="43" spans="1:36"/>
  </sheetData>
  <sheetProtection algorithmName="SHA-512" hashValue="XY3vVxt1EjZRMAsfmLcgeXIqew90oXsLjg9/XJ9skxiQHQwbbZxmWSAm2hKN5q8TdXrojQoURjebyB8fDZhAQg==" saltValue="BCbYohWii8HkhjmvO/j2qg==" spinCount="100000" sheet="1" objects="1" scenarios="1"/>
  <customSheetViews>
    <customSheetView guid="{5E113600-004F-4409-A088-DFECFF9BC96A}" showGridLines="0" hiddenRows="1" hiddenColumns="1">
      <pane xSplit="2" ySplit="5" topLeftCell="C9" activePane="bottomRight" state="frozen"/>
      <selection pane="bottomRight" activeCell="D29" sqref="D29"/>
      <pageMargins left="0.7" right="0.7" top="0.75" bottom="0.75" header="0.3" footer="0.3"/>
    </customSheetView>
    <customSheetView guid="{1F97382E-80B0-473D-874E-BD5E60D01A4B}" showGridLines="0" hiddenRows="1" hiddenColumns="1">
      <pane xSplit="2" ySplit="5" topLeftCell="C9" activePane="bottomRight" state="frozen"/>
      <selection pane="bottomRight" activeCell="D29" sqref="D29"/>
      <pageMargins left="0.7" right="0.7" top="0.75" bottom="0.75" header="0.3" footer="0.3"/>
    </customSheetView>
    <customSheetView guid="{7663FDEA-AE2F-416B-8123-1D493B6639C0}" showGridLines="0" hiddenRows="1" hiddenColumns="1">
      <pane xSplit="2" ySplit="5" topLeftCell="C9" activePane="bottomRight" state="frozen"/>
      <selection pane="bottomRight" activeCell="D29" sqref="D29"/>
      <pageMargins left="0.7" right="0.7" top="0.75" bottom="0.75" header="0.3" footer="0.3"/>
    </customSheetView>
    <customSheetView guid="{C287C8AD-6E2E-4D5F-930B-C18EF9030790}" showGridLines="0" hiddenRows="1" hiddenColumns="1">
      <pane xSplit="2" ySplit="5" topLeftCell="C9" activePane="bottomRight" state="frozen"/>
      <selection pane="bottomRight" activeCell="D29" sqref="D29"/>
      <pageMargins left="0.7" right="0.7" top="0.75" bottom="0.75" header="0.3" footer="0.3"/>
    </customSheetView>
  </customSheetViews>
  <mergeCells count="12">
    <mergeCell ref="C3:F3"/>
    <mergeCell ref="G3:J3"/>
    <mergeCell ref="Q3:T3"/>
    <mergeCell ref="M3:P3"/>
    <mergeCell ref="B2:J2"/>
    <mergeCell ref="L2:T2"/>
    <mergeCell ref="W3:Y3"/>
    <mergeCell ref="Z3:AB3"/>
    <mergeCell ref="AE3:AG3"/>
    <mergeCell ref="AH3:AJ3"/>
    <mergeCell ref="V2:AB2"/>
    <mergeCell ref="AD2:AJ2"/>
  </mergeCells>
  <conditionalFormatting sqref="F6:F37 J6:J37 P6:P37 T6:T37 Y6:Y37 AB6:AB37 AG6:AG37 AJ6:AJ37">
    <cfRule type="cellIs" dxfId="1321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ML13"/>
  <sheetViews>
    <sheetView showGridLines="0" zoomScaleNormal="100" workbookViewId="0">
      <pane xSplit="14" ySplit="5" topLeftCell="O6" activePane="bottomRight" state="frozen"/>
      <selection pane="topRight" activeCell="J1" sqref="J1"/>
      <selection pane="bottomLeft" activeCell="A5" sqref="A5"/>
      <selection pane="bottomRight" activeCell="F7" sqref="F7"/>
    </sheetView>
  </sheetViews>
  <sheetFormatPr defaultColWidth="0" defaultRowHeight="15"/>
  <cols>
    <col min="1" max="1" width="1.85546875" style="178" customWidth="1"/>
    <col min="2" max="2" width="6.140625" style="149" bestFit="1" customWidth="1"/>
    <col min="3" max="3" width="17" style="149" bestFit="1" customWidth="1"/>
    <col min="4" max="4" width="9.140625" style="150" bestFit="1" customWidth="1"/>
    <col min="5" max="6" width="6.5703125" style="150" bestFit="1" customWidth="1"/>
    <col min="7" max="7" width="6.5703125" style="151" bestFit="1" customWidth="1"/>
    <col min="8" max="8" width="7.5703125" style="152" bestFit="1" customWidth="1"/>
    <col min="9" max="9" width="5.7109375" style="151" bestFit="1" customWidth="1"/>
    <col min="10" max="10" width="6.28515625" style="151" bestFit="1" customWidth="1"/>
    <col min="11" max="11" width="5.7109375" style="151" customWidth="1"/>
    <col min="12" max="12" width="7" style="151" bestFit="1" customWidth="1"/>
    <col min="13" max="13" width="7" style="151" customWidth="1"/>
    <col min="14" max="14" width="5.140625" style="149" bestFit="1" customWidth="1"/>
    <col min="15" max="41" width="3.28515625" style="149" bestFit="1" customWidth="1"/>
    <col min="42" max="42" width="3.28515625" style="153" bestFit="1" customWidth="1"/>
    <col min="43" max="44" width="3.28515625" style="149" bestFit="1" customWidth="1"/>
    <col min="45" max="45" width="4.28515625" style="149" bestFit="1" customWidth="1"/>
    <col min="46" max="46" width="5.5703125" style="149" bestFit="1" customWidth="1"/>
    <col min="47" max="47" width="6.42578125" style="151" bestFit="1" customWidth="1"/>
    <col min="48" max="50" width="7.42578125" style="149" bestFit="1" customWidth="1"/>
    <col min="51" max="51" width="4.85546875" style="149" bestFit="1" customWidth="1"/>
    <col min="52" max="52" width="4.7109375" style="149" bestFit="1" customWidth="1"/>
    <col min="53" max="53" width="8.7109375" style="149" bestFit="1" customWidth="1"/>
    <col min="54" max="54" width="3.28515625" style="149" customWidth="1"/>
    <col min="55" max="55" width="9.140625" style="149" hidden="1" customWidth="1"/>
    <col min="56" max="1023" width="0" style="149" hidden="1" customWidth="1"/>
    <col min="1024" max="1026" width="0" style="178" hidden="1" customWidth="1"/>
    <col min="1027" max="16384" width="9.140625" style="178" hidden="1"/>
  </cols>
  <sheetData>
    <row r="1" spans="1:1026" ht="15.75" thickBot="1"/>
    <row r="2" spans="1:1026" ht="23.25" thickBot="1">
      <c r="B2" s="355" t="str">
        <f>Summary!R5&amp;" Bisleri Material Consumption for the Month of "&amp; TEXT(Summary!R4," MMM YY")</f>
        <v>SOC Bisleri Material Consumption for the Month of  Feb 26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6"/>
      <c r="AQ2" s="155"/>
      <c r="AR2" s="155"/>
      <c r="AS2" s="155"/>
      <c r="AT2" s="157"/>
      <c r="AU2" s="154"/>
      <c r="AV2" s="154"/>
    </row>
    <row r="3" spans="1:1026">
      <c r="B3" s="154"/>
      <c r="C3" s="154"/>
      <c r="D3" s="158"/>
      <c r="E3" s="158"/>
      <c r="F3" s="158"/>
      <c r="G3" s="158"/>
      <c r="H3" s="159"/>
      <c r="I3" s="160"/>
      <c r="J3" s="160"/>
      <c r="K3" s="160"/>
      <c r="L3" s="160"/>
      <c r="M3" s="160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61"/>
      <c r="AQ3" s="154"/>
      <c r="AR3" s="154"/>
      <c r="AS3" s="154"/>
      <c r="AT3" s="154"/>
      <c r="AU3" s="154"/>
      <c r="AV3" s="154"/>
    </row>
    <row r="4" spans="1:1026" ht="24.75">
      <c r="B4" s="162"/>
      <c r="C4" s="162"/>
      <c r="D4" s="163"/>
      <c r="E4" s="163"/>
      <c r="F4" s="163"/>
      <c r="G4" s="163"/>
      <c r="H4" s="164"/>
      <c r="I4" s="165"/>
      <c r="J4" s="165"/>
      <c r="K4" s="165"/>
      <c r="L4" s="165"/>
      <c r="M4" s="165"/>
      <c r="N4" s="166" t="s">
        <v>258</v>
      </c>
      <c r="O4" s="167" t="str">
        <f>TEXT(O5,"ddd")</f>
        <v>Sun</v>
      </c>
      <c r="P4" s="167" t="str">
        <f t="shared" ref="P4:AH4" si="0">TEXT(P5,"ddd")</f>
        <v>Mon</v>
      </c>
      <c r="Q4" s="167" t="str">
        <f t="shared" si="0"/>
        <v>Tue</v>
      </c>
      <c r="R4" s="167" t="str">
        <f t="shared" si="0"/>
        <v>Wed</v>
      </c>
      <c r="S4" s="167" t="str">
        <f t="shared" si="0"/>
        <v>Thu</v>
      </c>
      <c r="T4" s="167" t="str">
        <f t="shared" si="0"/>
        <v>Fri</v>
      </c>
      <c r="U4" s="167" t="str">
        <f t="shared" si="0"/>
        <v>Sat</v>
      </c>
      <c r="V4" s="167" t="str">
        <f t="shared" si="0"/>
        <v>Sun</v>
      </c>
      <c r="W4" s="167" t="str">
        <f t="shared" si="0"/>
        <v>Mon</v>
      </c>
      <c r="X4" s="167" t="str">
        <f t="shared" si="0"/>
        <v>Tue</v>
      </c>
      <c r="Y4" s="167" t="str">
        <f t="shared" si="0"/>
        <v>Wed</v>
      </c>
      <c r="Z4" s="167" t="str">
        <f t="shared" si="0"/>
        <v>Thu</v>
      </c>
      <c r="AA4" s="167" t="str">
        <f t="shared" si="0"/>
        <v>Fri</v>
      </c>
      <c r="AB4" s="167" t="str">
        <f t="shared" si="0"/>
        <v>Sat</v>
      </c>
      <c r="AC4" s="167" t="str">
        <f t="shared" si="0"/>
        <v>Sun</v>
      </c>
      <c r="AD4" s="167" t="str">
        <f t="shared" si="0"/>
        <v>Mon</v>
      </c>
      <c r="AE4" s="167" t="str">
        <f t="shared" si="0"/>
        <v>Tue</v>
      </c>
      <c r="AF4" s="167" t="str">
        <f t="shared" si="0"/>
        <v>Wed</v>
      </c>
      <c r="AG4" s="167" t="str">
        <f t="shared" si="0"/>
        <v>Thu</v>
      </c>
      <c r="AH4" s="167" t="str">
        <f t="shared" si="0"/>
        <v>Fri</v>
      </c>
      <c r="AI4" s="167" t="str">
        <f>TEXT(AI5,"ddd")</f>
        <v>Sat</v>
      </c>
      <c r="AJ4" s="167" t="str">
        <f t="shared" ref="AJ4:AS4" si="1">TEXT(AJ5,"ddd")</f>
        <v>Sun</v>
      </c>
      <c r="AK4" s="167" t="str">
        <f t="shared" si="1"/>
        <v>Mon</v>
      </c>
      <c r="AL4" s="167" t="str">
        <f t="shared" si="1"/>
        <v>Tue</v>
      </c>
      <c r="AM4" s="167" t="str">
        <f t="shared" si="1"/>
        <v>Wed</v>
      </c>
      <c r="AN4" s="167" t="str">
        <f t="shared" si="1"/>
        <v>Thu</v>
      </c>
      <c r="AO4" s="167" t="str">
        <f t="shared" si="1"/>
        <v>Fri</v>
      </c>
      <c r="AP4" s="167" t="str">
        <f t="shared" si="1"/>
        <v>Sat</v>
      </c>
      <c r="AQ4" s="167" t="str">
        <f t="shared" si="1"/>
        <v>Sun</v>
      </c>
      <c r="AR4" s="167" t="str">
        <f t="shared" si="1"/>
        <v>Mon</v>
      </c>
      <c r="AS4" s="167" t="str">
        <f t="shared" si="1"/>
        <v>Tue</v>
      </c>
      <c r="AT4" s="166" t="s">
        <v>258</v>
      </c>
      <c r="AU4" s="166" t="s">
        <v>258</v>
      </c>
      <c r="AV4" s="166" t="s">
        <v>258</v>
      </c>
      <c r="AW4" s="166" t="s">
        <v>258</v>
      </c>
      <c r="AX4" s="166" t="s">
        <v>258</v>
      </c>
      <c r="BA4" s="166" t="s">
        <v>258</v>
      </c>
    </row>
    <row r="5" spans="1:1026" ht="38.25">
      <c r="B5" s="168" t="s">
        <v>6</v>
      </c>
      <c r="C5" s="168" t="s">
        <v>224</v>
      </c>
      <c r="D5" s="169" t="s">
        <v>7</v>
      </c>
      <c r="E5" s="169" t="s">
        <v>225</v>
      </c>
      <c r="F5" s="169" t="s">
        <v>8</v>
      </c>
      <c r="G5" s="169" t="s">
        <v>1</v>
      </c>
      <c r="H5" s="170" t="s">
        <v>51</v>
      </c>
      <c r="I5" s="89" t="s">
        <v>54</v>
      </c>
      <c r="J5" s="171" t="s">
        <v>501</v>
      </c>
      <c r="K5" s="171" t="s">
        <v>502</v>
      </c>
      <c r="L5" s="171" t="s">
        <v>266</v>
      </c>
      <c r="M5" s="166" t="s">
        <v>63</v>
      </c>
      <c r="N5" s="92" t="s">
        <v>9</v>
      </c>
      <c r="O5" s="172">
        <f>Summary!R4</f>
        <v>46054</v>
      </c>
      <c r="P5" s="172">
        <f>O5+1</f>
        <v>46055</v>
      </c>
      <c r="Q5" s="172">
        <f t="shared" ref="Q5:AS5" si="2">P5+1</f>
        <v>46056</v>
      </c>
      <c r="R5" s="172">
        <f t="shared" si="2"/>
        <v>46057</v>
      </c>
      <c r="S5" s="172">
        <f t="shared" si="2"/>
        <v>46058</v>
      </c>
      <c r="T5" s="172">
        <f t="shared" si="2"/>
        <v>46059</v>
      </c>
      <c r="U5" s="172">
        <f t="shared" si="2"/>
        <v>46060</v>
      </c>
      <c r="V5" s="172">
        <f t="shared" si="2"/>
        <v>46061</v>
      </c>
      <c r="W5" s="172">
        <f t="shared" si="2"/>
        <v>46062</v>
      </c>
      <c r="X5" s="172">
        <f t="shared" si="2"/>
        <v>46063</v>
      </c>
      <c r="Y5" s="172">
        <f t="shared" si="2"/>
        <v>46064</v>
      </c>
      <c r="Z5" s="172">
        <f t="shared" si="2"/>
        <v>46065</v>
      </c>
      <c r="AA5" s="172">
        <f t="shared" si="2"/>
        <v>46066</v>
      </c>
      <c r="AB5" s="172">
        <f t="shared" si="2"/>
        <v>46067</v>
      </c>
      <c r="AC5" s="172">
        <f t="shared" si="2"/>
        <v>46068</v>
      </c>
      <c r="AD5" s="172">
        <f t="shared" si="2"/>
        <v>46069</v>
      </c>
      <c r="AE5" s="172">
        <f t="shared" si="2"/>
        <v>46070</v>
      </c>
      <c r="AF5" s="172">
        <f t="shared" si="2"/>
        <v>46071</v>
      </c>
      <c r="AG5" s="172">
        <f t="shared" si="2"/>
        <v>46072</v>
      </c>
      <c r="AH5" s="172">
        <f t="shared" si="2"/>
        <v>46073</v>
      </c>
      <c r="AI5" s="172">
        <f t="shared" si="2"/>
        <v>46074</v>
      </c>
      <c r="AJ5" s="172">
        <f t="shared" si="2"/>
        <v>46075</v>
      </c>
      <c r="AK5" s="172">
        <f t="shared" si="2"/>
        <v>46076</v>
      </c>
      <c r="AL5" s="172">
        <f t="shared" si="2"/>
        <v>46077</v>
      </c>
      <c r="AM5" s="172">
        <f t="shared" si="2"/>
        <v>46078</v>
      </c>
      <c r="AN5" s="172">
        <f t="shared" si="2"/>
        <v>46079</v>
      </c>
      <c r="AO5" s="172">
        <f t="shared" si="2"/>
        <v>46080</v>
      </c>
      <c r="AP5" s="172">
        <f t="shared" si="2"/>
        <v>46081</v>
      </c>
      <c r="AQ5" s="172">
        <f t="shared" si="2"/>
        <v>46082</v>
      </c>
      <c r="AR5" s="172">
        <f t="shared" si="2"/>
        <v>46083</v>
      </c>
      <c r="AS5" s="172">
        <f t="shared" si="2"/>
        <v>46084</v>
      </c>
      <c r="AT5" s="93" t="s">
        <v>249</v>
      </c>
      <c r="AU5" s="93" t="s">
        <v>250</v>
      </c>
      <c r="AV5" s="93" t="s">
        <v>251</v>
      </c>
      <c r="AW5" s="93" t="s">
        <v>227</v>
      </c>
      <c r="AX5" s="93" t="s">
        <v>226</v>
      </c>
      <c r="AY5" s="93" t="s">
        <v>175</v>
      </c>
      <c r="AZ5" s="93" t="s">
        <v>176</v>
      </c>
      <c r="BA5" s="93" t="s">
        <v>267</v>
      </c>
    </row>
    <row r="6" spans="1:1026" ht="15" customHeight="1">
      <c r="B6" s="173">
        <v>1</v>
      </c>
      <c r="C6" s="267" t="s">
        <v>228</v>
      </c>
      <c r="D6" s="268" t="s">
        <v>32</v>
      </c>
      <c r="E6" s="269" t="s">
        <v>228</v>
      </c>
      <c r="F6" s="270" t="s">
        <v>229</v>
      </c>
      <c r="G6" s="271">
        <v>152.54</v>
      </c>
      <c r="H6" s="272">
        <v>10</v>
      </c>
      <c r="I6" s="272"/>
      <c r="J6" s="272"/>
      <c r="K6" s="272"/>
      <c r="L6" s="272"/>
      <c r="M6" s="272"/>
      <c r="N6" s="182">
        <f>SUM(H6:L6)</f>
        <v>10</v>
      </c>
      <c r="O6" s="276"/>
      <c r="P6" s="276">
        <v>1</v>
      </c>
      <c r="Q6" s="276">
        <v>1</v>
      </c>
      <c r="R6" s="276"/>
      <c r="S6" s="276">
        <v>1</v>
      </c>
      <c r="T6" s="276">
        <v>1</v>
      </c>
      <c r="U6" s="276"/>
      <c r="V6" s="276"/>
      <c r="W6" s="276">
        <v>1</v>
      </c>
      <c r="X6" s="276">
        <v>1</v>
      </c>
      <c r="Y6" s="276">
        <v>1</v>
      </c>
      <c r="Z6" s="276">
        <v>1</v>
      </c>
      <c r="AA6" s="276">
        <v>1</v>
      </c>
      <c r="AB6" s="276"/>
      <c r="AC6" s="276"/>
      <c r="AD6" s="276">
        <v>1</v>
      </c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183">
        <f t="shared" ref="AT6:AT8" si="3">SUM(O6:AS6)</f>
        <v>10</v>
      </c>
      <c r="AU6" s="184">
        <f>N6-AT6</f>
        <v>0</v>
      </c>
      <c r="AV6" s="185">
        <f>AT6*G6</f>
        <v>1525.3999999999999</v>
      </c>
      <c r="AW6" s="186">
        <f>AU6*G6</f>
        <v>0</v>
      </c>
      <c r="AX6" s="186">
        <f>I6*G6</f>
        <v>0</v>
      </c>
      <c r="AY6" s="174">
        <v>9</v>
      </c>
      <c r="AZ6" s="174">
        <v>9</v>
      </c>
      <c r="BA6" s="186">
        <f>AX6*SUM(AY6:AZ6)%+AX6</f>
        <v>0</v>
      </c>
    </row>
    <row r="7" spans="1:1026" ht="15" customHeight="1">
      <c r="B7" s="173">
        <v>2</v>
      </c>
      <c r="C7" s="267" t="s">
        <v>228</v>
      </c>
      <c r="D7" s="268" t="s">
        <v>32</v>
      </c>
      <c r="E7" s="269" t="s">
        <v>228</v>
      </c>
      <c r="F7" s="280" t="s">
        <v>451</v>
      </c>
      <c r="G7" s="271">
        <v>114.41</v>
      </c>
      <c r="H7" s="274">
        <v>10</v>
      </c>
      <c r="I7" s="272"/>
      <c r="J7" s="272"/>
      <c r="K7" s="272"/>
      <c r="L7" s="272"/>
      <c r="M7" s="272"/>
      <c r="N7" s="182">
        <f>SUM(H7:L7)</f>
        <v>10</v>
      </c>
      <c r="O7" s="276"/>
      <c r="P7" s="276">
        <v>1</v>
      </c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>
        <v>1</v>
      </c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7"/>
      <c r="AT7" s="183">
        <f t="shared" si="3"/>
        <v>2</v>
      </c>
      <c r="AU7" s="187">
        <f>N7-AT7</f>
        <v>8</v>
      </c>
      <c r="AV7" s="185">
        <f>AT7*G7</f>
        <v>228.82</v>
      </c>
      <c r="AW7" s="186">
        <f>AU7*G7</f>
        <v>915.28</v>
      </c>
      <c r="AX7" s="186">
        <f>I7*G7</f>
        <v>0</v>
      </c>
      <c r="AY7" s="174"/>
      <c r="AZ7" s="174"/>
      <c r="BA7" s="186">
        <f>AX7*SUM(AY7:AZ7)%+AX7</f>
        <v>0</v>
      </c>
    </row>
    <row r="8" spans="1:1026" s="149" customFormat="1">
      <c r="B8" s="173">
        <v>3</v>
      </c>
      <c r="C8" s="267"/>
      <c r="D8" s="273"/>
      <c r="E8" s="273"/>
      <c r="F8" s="275"/>
      <c r="G8" s="271"/>
      <c r="H8" s="272"/>
      <c r="I8" s="272"/>
      <c r="J8" s="272"/>
      <c r="K8" s="272"/>
      <c r="L8" s="272"/>
      <c r="M8" s="272"/>
      <c r="N8" s="182">
        <f>SUM(H8:L8)</f>
        <v>0</v>
      </c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7"/>
      <c r="AT8" s="183">
        <f t="shared" si="3"/>
        <v>0</v>
      </c>
      <c r="AU8" s="187">
        <f t="shared" ref="AU8" si="4">N8-AT8</f>
        <v>0</v>
      </c>
      <c r="AV8" s="185">
        <f>AT8*G8</f>
        <v>0</v>
      </c>
      <c r="AW8" s="186">
        <f>AU8*G8</f>
        <v>0</v>
      </c>
      <c r="AX8" s="186">
        <f>I8*G8</f>
        <v>0</v>
      </c>
      <c r="AY8" s="174"/>
      <c r="AZ8" s="174"/>
      <c r="BA8" s="186">
        <f t="shared" ref="BA8" si="5">AX8*SUM(AY8:AZ8)%+AX8</f>
        <v>0</v>
      </c>
    </row>
    <row r="9" spans="1:1026" s="149" customFormat="1" ht="12.75">
      <c r="B9" s="173"/>
      <c r="C9" s="175"/>
      <c r="D9" s="352" t="s">
        <v>52</v>
      </c>
      <c r="E9" s="353"/>
      <c r="F9" s="353"/>
      <c r="G9" s="354"/>
      <c r="H9" s="176">
        <f>SUM(H6:H8)</f>
        <v>20</v>
      </c>
      <c r="I9" s="176">
        <f>SUM(I6:I8)</f>
        <v>0</v>
      </c>
      <c r="J9" s="176"/>
      <c r="K9" s="176"/>
      <c r="L9" s="176"/>
      <c r="M9" s="176"/>
      <c r="N9" s="176">
        <f t="shared" ref="N9:AR9" si="6">SUM(N6:N8)</f>
        <v>20</v>
      </c>
      <c r="O9" s="176">
        <f t="shared" si="6"/>
        <v>0</v>
      </c>
      <c r="P9" s="176">
        <f t="shared" si="6"/>
        <v>2</v>
      </c>
      <c r="Q9" s="176">
        <f t="shared" si="6"/>
        <v>1</v>
      </c>
      <c r="R9" s="176">
        <f t="shared" si="6"/>
        <v>0</v>
      </c>
      <c r="S9" s="176">
        <f t="shared" si="6"/>
        <v>1</v>
      </c>
      <c r="T9" s="176">
        <f t="shared" si="6"/>
        <v>1</v>
      </c>
      <c r="U9" s="176">
        <f t="shared" si="6"/>
        <v>0</v>
      </c>
      <c r="V9" s="176">
        <f t="shared" si="6"/>
        <v>0</v>
      </c>
      <c r="W9" s="176">
        <f t="shared" si="6"/>
        <v>1</v>
      </c>
      <c r="X9" s="176">
        <f t="shared" si="6"/>
        <v>1</v>
      </c>
      <c r="Y9" s="176">
        <f t="shared" si="6"/>
        <v>1</v>
      </c>
      <c r="Z9" s="176">
        <f t="shared" si="6"/>
        <v>1</v>
      </c>
      <c r="AA9" s="176">
        <f t="shared" si="6"/>
        <v>2</v>
      </c>
      <c r="AB9" s="176">
        <f t="shared" si="6"/>
        <v>0</v>
      </c>
      <c r="AC9" s="176">
        <f t="shared" si="6"/>
        <v>0</v>
      </c>
      <c r="AD9" s="176">
        <f t="shared" si="6"/>
        <v>1</v>
      </c>
      <c r="AE9" s="176">
        <f t="shared" si="6"/>
        <v>0</v>
      </c>
      <c r="AF9" s="176">
        <f t="shared" si="6"/>
        <v>0</v>
      </c>
      <c r="AG9" s="176">
        <f t="shared" si="6"/>
        <v>0</v>
      </c>
      <c r="AH9" s="176">
        <f t="shared" si="6"/>
        <v>0</v>
      </c>
      <c r="AI9" s="176">
        <f t="shared" si="6"/>
        <v>0</v>
      </c>
      <c r="AJ9" s="176">
        <f t="shared" si="6"/>
        <v>0</v>
      </c>
      <c r="AK9" s="176">
        <f t="shared" si="6"/>
        <v>0</v>
      </c>
      <c r="AL9" s="176">
        <f t="shared" si="6"/>
        <v>0</v>
      </c>
      <c r="AM9" s="176">
        <f t="shared" si="6"/>
        <v>0</v>
      </c>
      <c r="AN9" s="176">
        <f t="shared" si="6"/>
        <v>0</v>
      </c>
      <c r="AO9" s="176">
        <f t="shared" si="6"/>
        <v>0</v>
      </c>
      <c r="AP9" s="176">
        <f t="shared" si="6"/>
        <v>0</v>
      </c>
      <c r="AQ9" s="176">
        <f t="shared" si="6"/>
        <v>0</v>
      </c>
      <c r="AR9" s="176">
        <f t="shared" si="6"/>
        <v>0</v>
      </c>
      <c r="AS9" s="177"/>
      <c r="AT9" s="176">
        <f t="shared" ref="AT9:BA9" si="7">SUM(AT6:AT8)</f>
        <v>12</v>
      </c>
      <c r="AU9" s="176">
        <f t="shared" si="7"/>
        <v>8</v>
      </c>
      <c r="AV9" s="176">
        <f t="shared" si="7"/>
        <v>1754.2199999999998</v>
      </c>
      <c r="AW9" s="176">
        <f t="shared" si="7"/>
        <v>915.28</v>
      </c>
      <c r="AX9" s="176">
        <f t="shared" si="7"/>
        <v>0</v>
      </c>
      <c r="AY9" s="176">
        <f t="shared" si="7"/>
        <v>9</v>
      </c>
      <c r="AZ9" s="176">
        <f t="shared" si="7"/>
        <v>9</v>
      </c>
      <c r="BA9" s="176">
        <f t="shared" si="7"/>
        <v>0</v>
      </c>
    </row>
    <row r="10" spans="1:1026" s="149" customFormat="1">
      <c r="A10" s="178"/>
      <c r="D10" s="150"/>
      <c r="E10" s="150"/>
      <c r="F10" s="150"/>
      <c r="G10" s="151"/>
      <c r="H10" s="152"/>
      <c r="I10" s="151"/>
      <c r="J10" s="151"/>
      <c r="K10" s="151"/>
      <c r="L10" s="151"/>
      <c r="M10" s="151"/>
      <c r="AP10" s="153"/>
      <c r="AU10" s="151"/>
      <c r="AMJ10" s="178"/>
      <c r="AMK10" s="178"/>
      <c r="AML10" s="178"/>
    </row>
    <row r="11" spans="1:1026" s="149" customFormat="1">
      <c r="A11" s="178"/>
      <c r="D11" s="150"/>
      <c r="E11" s="150"/>
      <c r="F11" s="150"/>
      <c r="G11" s="151"/>
      <c r="H11" s="152"/>
      <c r="I11" s="151"/>
      <c r="J11" s="151"/>
      <c r="K11" s="151"/>
      <c r="L11" s="151"/>
      <c r="M11" s="151"/>
      <c r="AP11" s="153"/>
      <c r="AU11" s="151"/>
      <c r="AMJ11" s="178"/>
      <c r="AMK11" s="178"/>
      <c r="AML11" s="178"/>
    </row>
    <row r="12" spans="1:1026" s="149" customFormat="1">
      <c r="A12" s="178"/>
      <c r="D12" s="150"/>
      <c r="E12" s="150"/>
      <c r="F12" s="150"/>
      <c r="G12" s="151"/>
      <c r="H12" s="152"/>
      <c r="I12" s="151"/>
      <c r="J12" s="151"/>
      <c r="K12" s="151"/>
      <c r="L12" s="151"/>
      <c r="M12" s="151"/>
      <c r="AP12" s="153"/>
      <c r="AU12" s="151"/>
      <c r="AMJ12" s="178"/>
      <c r="AMK12" s="178"/>
      <c r="AML12" s="178"/>
    </row>
    <row r="13" spans="1:1026" s="149" customFormat="1">
      <c r="A13" s="178"/>
      <c r="D13" s="150"/>
      <c r="E13" s="150"/>
      <c r="F13" s="150"/>
      <c r="G13" s="151"/>
      <c r="H13" s="152"/>
      <c r="I13" s="151"/>
      <c r="J13" s="151"/>
      <c r="K13" s="151"/>
      <c r="L13" s="151"/>
      <c r="M13" s="151"/>
      <c r="AP13" s="153"/>
      <c r="AU13" s="151"/>
      <c r="AMJ13" s="178"/>
      <c r="AMK13" s="178"/>
      <c r="AML13" s="178"/>
    </row>
  </sheetData>
  <sheetProtection algorithmName="SHA-512" hashValue="s0ZNnbsOqo/jXcASMIW0N02TZY0KbGg+ysJ9WqGaejZeFbgdpeLRagI0sj0fIdn3QVxTFc6mZGQ+ILsCLPk6zA==" saltValue="fuFuf+5iICcyYAv9PZHsqA==" spinCount="100000" sheet="1" insertRows="0"/>
  <customSheetViews>
    <customSheetView guid="{5E113600-004F-4409-A088-DFECFF9BC96A}" showGridLines="0" hiddenColumns="1">
      <pane xSplit="14" ySplit="5" topLeftCell="O6" activePane="bottomRight" state="frozen"/>
      <selection pane="bottomRight" activeCell="AP6" sqref="AP6"/>
      <pageMargins left="0.7" right="0.7" top="0.75" bottom="0.75" header="0.51180555555555496" footer="0.51180555555555496"/>
      <pageSetup paperSize="9" firstPageNumber="0" orientation="portrait" horizontalDpi="300" verticalDpi="300" r:id="rId1"/>
    </customSheetView>
    <customSheetView guid="{1F97382E-80B0-473D-874E-BD5E60D01A4B}" showGridLines="0" hiddenColumns="1">
      <pane xSplit="14" ySplit="5" topLeftCell="O6" activePane="bottomRight" state="frozen"/>
      <selection pane="bottomRight" activeCell="AP6" sqref="AP6"/>
      <pageMargins left="0.7" right="0.7" top="0.75" bottom="0.75" header="0.51180555555555496" footer="0.51180555555555496"/>
      <pageSetup paperSize="9" firstPageNumber="0" orientation="portrait" horizontalDpi="300" verticalDpi="300" r:id="rId2"/>
    </customSheetView>
    <customSheetView guid="{7663FDEA-AE2F-416B-8123-1D493B6639C0}" showGridLines="0" hiddenColumns="1">
      <pane xSplit="14" ySplit="5" topLeftCell="O6" activePane="bottomRight" state="frozen"/>
      <selection pane="bottomRight" activeCell="AP6" sqref="AP6"/>
      <pageMargins left="0.7" right="0.7" top="0.75" bottom="0.75" header="0.51180555555555496" footer="0.51180555555555496"/>
      <pageSetup paperSize="9" firstPageNumber="0" orientation="portrait" horizontalDpi="300" verticalDpi="300" r:id="rId3"/>
    </customSheetView>
    <customSheetView guid="{C287C8AD-6E2E-4D5F-930B-C18EF9030790}" showGridLines="0" hiddenColumns="1">
      <pane xSplit="14" ySplit="5" topLeftCell="O6" activePane="bottomRight" state="frozen"/>
      <selection pane="bottomRight" activeCell="AP6" sqref="AP6"/>
      <pageMargins left="0.7" right="0.7" top="0.75" bottom="0.75" header="0.51180555555555496" footer="0.51180555555555496"/>
      <pageSetup paperSize="9" firstPageNumber="0" orientation="portrait" horizontalDpi="300" verticalDpi="300" r:id="rId4"/>
    </customSheetView>
  </customSheetViews>
  <mergeCells count="2">
    <mergeCell ref="D9:G9"/>
    <mergeCell ref="B2:N2"/>
  </mergeCells>
  <conditionalFormatting sqref="B4:M4 O4:AS4">
    <cfRule type="containsText" dxfId="1320" priority="27" operator="containsText" text="sat"/>
    <cfRule type="containsText" dxfId="1319" priority="28" operator="containsText" text="sun"/>
  </conditionalFormatting>
  <conditionalFormatting sqref="D6:E7">
    <cfRule type="duplicateValues" priority="2"/>
    <cfRule type="duplicateValues" priority="3"/>
    <cfRule type="duplicateValues" priority="4"/>
    <cfRule type="duplicateValues" priority="5"/>
  </conditionalFormatting>
  <conditionalFormatting sqref="D8:E8">
    <cfRule type="duplicateValues" priority="29"/>
    <cfRule type="duplicateValues" priority="30"/>
    <cfRule type="duplicateValues" priority="31"/>
    <cfRule type="duplicateValues" priority="32"/>
  </conditionalFormatting>
  <conditionalFormatting sqref="N1:N1048576 AT1:AX1048576 BA1:BA1048576">
    <cfRule type="cellIs" dxfId="1318" priority="1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ML31"/>
  <sheetViews>
    <sheetView showGridLines="0" zoomScaleNormal="100" workbookViewId="0">
      <pane xSplit="14" ySplit="5" topLeftCell="AJ6" activePane="bottomRight" state="frozen"/>
      <selection pane="topRight" activeCell="J1" sqref="J1"/>
      <selection pane="bottomLeft" activeCell="A5" sqref="A5"/>
      <selection pane="bottomRight" activeCell="AJ6" sqref="AJ6"/>
    </sheetView>
  </sheetViews>
  <sheetFormatPr defaultColWidth="0" defaultRowHeight="15"/>
  <cols>
    <col min="1" max="1" width="1.85546875" style="178" customWidth="1"/>
    <col min="2" max="2" width="6.140625" style="149" bestFit="1" customWidth="1"/>
    <col min="3" max="3" width="6.85546875" style="149" bestFit="1" customWidth="1"/>
    <col min="4" max="4" width="29.7109375" style="150" bestFit="1" customWidth="1"/>
    <col min="5" max="6" width="6.5703125" style="150" bestFit="1" customWidth="1"/>
    <col min="7" max="7" width="6.5703125" style="151" bestFit="1" customWidth="1"/>
    <col min="8" max="8" width="7.5703125" style="152" bestFit="1" customWidth="1"/>
    <col min="9" max="9" width="5.7109375" style="151" bestFit="1" customWidth="1"/>
    <col min="10" max="10" width="6.28515625" style="151" bestFit="1" customWidth="1"/>
    <col min="11" max="11" width="5.7109375" style="151" customWidth="1"/>
    <col min="12" max="12" width="7" style="151" bestFit="1" customWidth="1"/>
    <col min="13" max="13" width="7" style="151" customWidth="1"/>
    <col min="14" max="14" width="5.140625" style="149" bestFit="1" customWidth="1"/>
    <col min="15" max="41" width="3.28515625" style="149" bestFit="1" customWidth="1"/>
    <col min="42" max="42" width="3.28515625" style="153" bestFit="1" customWidth="1"/>
    <col min="43" max="45" width="3.28515625" style="149" bestFit="1" customWidth="1"/>
    <col min="46" max="46" width="5.5703125" style="149" bestFit="1" customWidth="1"/>
    <col min="47" max="47" width="6.42578125" style="151" bestFit="1" customWidth="1"/>
    <col min="48" max="50" width="7.42578125" style="149" bestFit="1" customWidth="1"/>
    <col min="51" max="51" width="4.85546875" style="149" bestFit="1" customWidth="1"/>
    <col min="52" max="52" width="4.7109375" style="149" bestFit="1" customWidth="1"/>
    <col min="53" max="53" width="8.7109375" style="149" bestFit="1" customWidth="1"/>
    <col min="54" max="54" width="3.28515625" style="149" customWidth="1"/>
    <col min="55" max="55" width="9.140625" style="149" hidden="1" customWidth="1"/>
    <col min="56" max="1023" width="0" style="149" hidden="1" customWidth="1"/>
    <col min="1024" max="1026" width="0" style="178" hidden="1" customWidth="1"/>
    <col min="1027" max="16384" width="9.140625" style="178" hidden="1"/>
  </cols>
  <sheetData>
    <row r="1" spans="2:53" ht="15.75" thickBot="1"/>
    <row r="2" spans="2:53" ht="23.25" thickBot="1">
      <c r="B2" s="355" t="str">
        <f>Summary!R5&amp;" Medical Material Consumption for the Month of "&amp; TEXT(Summary!R4," MMM YY")</f>
        <v>SOC Medical Material Consumption for the Month of  Feb 26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6"/>
      <c r="AQ2" s="155"/>
      <c r="AR2" s="155"/>
      <c r="AS2" s="155"/>
      <c r="AT2" s="157"/>
      <c r="AU2" s="154"/>
      <c r="AV2" s="154"/>
    </row>
    <row r="3" spans="2:53">
      <c r="B3" s="154"/>
      <c r="C3" s="154"/>
      <c r="D3" s="158"/>
      <c r="E3" s="158"/>
      <c r="F3" s="158"/>
      <c r="G3" s="158"/>
      <c r="H3" s="159"/>
      <c r="I3" s="160"/>
      <c r="J3" s="160"/>
      <c r="K3" s="160"/>
      <c r="L3" s="160"/>
      <c r="M3" s="160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61"/>
      <c r="AQ3" s="154"/>
      <c r="AR3" s="154"/>
      <c r="AS3" s="154"/>
      <c r="AT3" s="154"/>
      <c r="AU3" s="154"/>
      <c r="AV3" s="154"/>
    </row>
    <row r="4" spans="2:53" ht="24.75">
      <c r="B4" s="162"/>
      <c r="C4" s="162"/>
      <c r="D4" s="163"/>
      <c r="E4" s="163"/>
      <c r="F4" s="163"/>
      <c r="G4" s="163"/>
      <c r="H4" s="164"/>
      <c r="I4" s="165"/>
      <c r="J4" s="165"/>
      <c r="K4" s="165"/>
      <c r="L4" s="165"/>
      <c r="M4" s="165"/>
      <c r="N4" s="166" t="s">
        <v>258</v>
      </c>
      <c r="O4" s="167" t="str">
        <f>TEXT(O5,"ddd")</f>
        <v>Sun</v>
      </c>
      <c r="P4" s="167" t="str">
        <f t="shared" ref="P4:AH4" si="0">TEXT(P5,"ddd")</f>
        <v>Mon</v>
      </c>
      <c r="Q4" s="167" t="str">
        <f t="shared" si="0"/>
        <v>Tue</v>
      </c>
      <c r="R4" s="167" t="str">
        <f t="shared" si="0"/>
        <v>Wed</v>
      </c>
      <c r="S4" s="167" t="str">
        <f t="shared" si="0"/>
        <v>Thu</v>
      </c>
      <c r="T4" s="167" t="str">
        <f t="shared" si="0"/>
        <v>Fri</v>
      </c>
      <c r="U4" s="167" t="str">
        <f t="shared" si="0"/>
        <v>Sat</v>
      </c>
      <c r="V4" s="167" t="str">
        <f t="shared" si="0"/>
        <v>Sun</v>
      </c>
      <c r="W4" s="167" t="str">
        <f t="shared" si="0"/>
        <v>Mon</v>
      </c>
      <c r="X4" s="167" t="str">
        <f t="shared" si="0"/>
        <v>Tue</v>
      </c>
      <c r="Y4" s="167" t="str">
        <f t="shared" si="0"/>
        <v>Wed</v>
      </c>
      <c r="Z4" s="167" t="str">
        <f t="shared" si="0"/>
        <v>Thu</v>
      </c>
      <c r="AA4" s="167" t="str">
        <f t="shared" si="0"/>
        <v>Fri</v>
      </c>
      <c r="AB4" s="167" t="str">
        <f t="shared" si="0"/>
        <v>Sat</v>
      </c>
      <c r="AC4" s="167" t="str">
        <f t="shared" si="0"/>
        <v>Sun</v>
      </c>
      <c r="AD4" s="167" t="str">
        <f t="shared" si="0"/>
        <v>Mon</v>
      </c>
      <c r="AE4" s="167" t="str">
        <f t="shared" si="0"/>
        <v>Tue</v>
      </c>
      <c r="AF4" s="167" t="str">
        <f t="shared" si="0"/>
        <v>Wed</v>
      </c>
      <c r="AG4" s="167" t="str">
        <f t="shared" si="0"/>
        <v>Thu</v>
      </c>
      <c r="AH4" s="167" t="str">
        <f t="shared" si="0"/>
        <v>Fri</v>
      </c>
      <c r="AI4" s="167" t="str">
        <f>TEXT(AI5,"ddd")</f>
        <v>Sat</v>
      </c>
      <c r="AJ4" s="167" t="str">
        <f t="shared" ref="AJ4:AS4" si="1">TEXT(AJ5,"ddd")</f>
        <v>Sun</v>
      </c>
      <c r="AK4" s="167" t="str">
        <f t="shared" si="1"/>
        <v>Mon</v>
      </c>
      <c r="AL4" s="167" t="str">
        <f t="shared" si="1"/>
        <v>Tue</v>
      </c>
      <c r="AM4" s="167" t="str">
        <f t="shared" si="1"/>
        <v>Wed</v>
      </c>
      <c r="AN4" s="167" t="str">
        <f t="shared" si="1"/>
        <v>Thu</v>
      </c>
      <c r="AO4" s="167" t="str">
        <f t="shared" si="1"/>
        <v>Fri</v>
      </c>
      <c r="AP4" s="167" t="str">
        <f t="shared" si="1"/>
        <v>Sat</v>
      </c>
      <c r="AQ4" s="167" t="str">
        <f t="shared" si="1"/>
        <v>Sun</v>
      </c>
      <c r="AR4" s="167" t="str">
        <f t="shared" si="1"/>
        <v>Mon</v>
      </c>
      <c r="AS4" s="167" t="str">
        <f t="shared" si="1"/>
        <v>Tue</v>
      </c>
      <c r="AT4" s="166" t="s">
        <v>258</v>
      </c>
      <c r="AU4" s="166" t="s">
        <v>258</v>
      </c>
      <c r="AV4" s="166" t="s">
        <v>258</v>
      </c>
      <c r="AW4" s="166" t="s">
        <v>258</v>
      </c>
      <c r="AX4" s="166" t="s">
        <v>258</v>
      </c>
      <c r="BA4" s="166" t="s">
        <v>258</v>
      </c>
    </row>
    <row r="5" spans="2:53" ht="38.25">
      <c r="B5" s="168" t="s">
        <v>6</v>
      </c>
      <c r="C5" s="168" t="s">
        <v>224</v>
      </c>
      <c r="D5" s="169" t="s">
        <v>7</v>
      </c>
      <c r="E5" s="169" t="s">
        <v>225</v>
      </c>
      <c r="F5" s="169" t="s">
        <v>8</v>
      </c>
      <c r="G5" s="169" t="s">
        <v>1</v>
      </c>
      <c r="H5" s="170" t="s">
        <v>51</v>
      </c>
      <c r="I5" s="89" t="s">
        <v>54</v>
      </c>
      <c r="J5" s="171" t="s">
        <v>501</v>
      </c>
      <c r="K5" s="171" t="s">
        <v>502</v>
      </c>
      <c r="L5" s="171" t="s">
        <v>266</v>
      </c>
      <c r="M5" s="166" t="s">
        <v>63</v>
      </c>
      <c r="N5" s="92" t="s">
        <v>9</v>
      </c>
      <c r="O5" s="172">
        <f>Summary!R4</f>
        <v>46054</v>
      </c>
      <c r="P5" s="172">
        <f>O5+1</f>
        <v>46055</v>
      </c>
      <c r="Q5" s="172">
        <f t="shared" ref="Q5:AS5" si="2">P5+1</f>
        <v>46056</v>
      </c>
      <c r="R5" s="172">
        <f t="shared" si="2"/>
        <v>46057</v>
      </c>
      <c r="S5" s="172">
        <f t="shared" si="2"/>
        <v>46058</v>
      </c>
      <c r="T5" s="172">
        <f t="shared" si="2"/>
        <v>46059</v>
      </c>
      <c r="U5" s="172">
        <f t="shared" si="2"/>
        <v>46060</v>
      </c>
      <c r="V5" s="172">
        <f t="shared" si="2"/>
        <v>46061</v>
      </c>
      <c r="W5" s="172">
        <f t="shared" si="2"/>
        <v>46062</v>
      </c>
      <c r="X5" s="172">
        <f t="shared" si="2"/>
        <v>46063</v>
      </c>
      <c r="Y5" s="172">
        <f t="shared" si="2"/>
        <v>46064</v>
      </c>
      <c r="Z5" s="172">
        <f t="shared" si="2"/>
        <v>46065</v>
      </c>
      <c r="AA5" s="172">
        <f t="shared" si="2"/>
        <v>46066</v>
      </c>
      <c r="AB5" s="172">
        <f t="shared" si="2"/>
        <v>46067</v>
      </c>
      <c r="AC5" s="172">
        <f t="shared" si="2"/>
        <v>46068</v>
      </c>
      <c r="AD5" s="172">
        <f t="shared" si="2"/>
        <v>46069</v>
      </c>
      <c r="AE5" s="172">
        <f t="shared" si="2"/>
        <v>46070</v>
      </c>
      <c r="AF5" s="172">
        <f t="shared" si="2"/>
        <v>46071</v>
      </c>
      <c r="AG5" s="172">
        <f t="shared" si="2"/>
        <v>46072</v>
      </c>
      <c r="AH5" s="172">
        <f t="shared" si="2"/>
        <v>46073</v>
      </c>
      <c r="AI5" s="172">
        <f t="shared" si="2"/>
        <v>46074</v>
      </c>
      <c r="AJ5" s="172">
        <f t="shared" si="2"/>
        <v>46075</v>
      </c>
      <c r="AK5" s="172">
        <f t="shared" si="2"/>
        <v>46076</v>
      </c>
      <c r="AL5" s="172">
        <f t="shared" si="2"/>
        <v>46077</v>
      </c>
      <c r="AM5" s="172">
        <f t="shared" si="2"/>
        <v>46078</v>
      </c>
      <c r="AN5" s="172">
        <f t="shared" si="2"/>
        <v>46079</v>
      </c>
      <c r="AO5" s="172">
        <f t="shared" si="2"/>
        <v>46080</v>
      </c>
      <c r="AP5" s="172">
        <f t="shared" si="2"/>
        <v>46081</v>
      </c>
      <c r="AQ5" s="172">
        <f t="shared" si="2"/>
        <v>46082</v>
      </c>
      <c r="AR5" s="172">
        <f t="shared" si="2"/>
        <v>46083</v>
      </c>
      <c r="AS5" s="172">
        <f t="shared" si="2"/>
        <v>46084</v>
      </c>
      <c r="AT5" s="93" t="s">
        <v>249</v>
      </c>
      <c r="AU5" s="93" t="s">
        <v>250</v>
      </c>
      <c r="AV5" s="93" t="s">
        <v>251</v>
      </c>
      <c r="AW5" s="93" t="s">
        <v>227</v>
      </c>
      <c r="AX5" s="93" t="s">
        <v>226</v>
      </c>
      <c r="AY5" s="93" t="s">
        <v>175</v>
      </c>
      <c r="AZ5" s="93" t="s">
        <v>176</v>
      </c>
      <c r="BA5" s="93" t="s">
        <v>267</v>
      </c>
    </row>
    <row r="6" spans="2:53">
      <c r="B6" s="278">
        <v>1</v>
      </c>
      <c r="C6" s="267"/>
      <c r="D6" s="268" t="s">
        <v>231</v>
      </c>
      <c r="E6" s="269" t="s">
        <v>234</v>
      </c>
      <c r="F6" s="270" t="s">
        <v>59</v>
      </c>
      <c r="G6" s="271">
        <v>220</v>
      </c>
      <c r="H6" s="272">
        <v>3</v>
      </c>
      <c r="I6" s="272">
        <v>6</v>
      </c>
      <c r="J6" s="272"/>
      <c r="K6" s="272"/>
      <c r="L6" s="272"/>
      <c r="M6" s="272"/>
      <c r="N6" s="182">
        <f>SUM(H6:L6)</f>
        <v>9</v>
      </c>
      <c r="O6" s="276"/>
      <c r="P6" s="276"/>
      <c r="Q6" s="276"/>
      <c r="R6" s="276">
        <v>1</v>
      </c>
      <c r="S6" s="276"/>
      <c r="T6" s="276"/>
      <c r="U6" s="276"/>
      <c r="V6" s="276"/>
      <c r="W6" s="276"/>
      <c r="X6" s="276">
        <v>1</v>
      </c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7"/>
      <c r="AT6" s="182">
        <f t="shared" ref="AT6:AT26" si="3">SUM(O6:AS6)</f>
        <v>2</v>
      </c>
      <c r="AU6" s="182">
        <f>N6-AT6</f>
        <v>7</v>
      </c>
      <c r="AV6" s="182">
        <f>AT6*G6</f>
        <v>440</v>
      </c>
      <c r="AW6" s="182">
        <f>AU6*G6</f>
        <v>1540</v>
      </c>
      <c r="AX6" s="182">
        <f>I6*G6</f>
        <v>1320</v>
      </c>
      <c r="AY6" s="174">
        <v>9</v>
      </c>
      <c r="AZ6" s="174">
        <v>9</v>
      </c>
      <c r="BA6" s="182">
        <f>AX6*SUM(AY6:AZ6)%+AX6</f>
        <v>1557.6</v>
      </c>
    </row>
    <row r="7" spans="2:53">
      <c r="B7" s="278">
        <v>2</v>
      </c>
      <c r="C7" s="267"/>
      <c r="D7" s="298" t="s">
        <v>299</v>
      </c>
      <c r="E7" s="269"/>
      <c r="F7" s="270" t="s">
        <v>59</v>
      </c>
      <c r="G7" s="271">
        <v>52.71</v>
      </c>
      <c r="H7" s="272">
        <v>1</v>
      </c>
      <c r="I7" s="272">
        <v>1</v>
      </c>
      <c r="J7" s="272"/>
      <c r="K7" s="272"/>
      <c r="L7" s="272"/>
      <c r="M7" s="272"/>
      <c r="N7" s="182">
        <f t="shared" ref="N7:N24" si="4">SUM(H7:L7)</f>
        <v>2</v>
      </c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7"/>
      <c r="AT7" s="182">
        <f t="shared" ref="AT7:AT25" si="5">SUM(O7:AS7)</f>
        <v>0</v>
      </c>
      <c r="AU7" s="182">
        <f t="shared" ref="AU7:AU25" si="6">N7-AT7</f>
        <v>2</v>
      </c>
      <c r="AV7" s="182">
        <f t="shared" ref="AV7:AV25" si="7">AT7*G7</f>
        <v>0</v>
      </c>
      <c r="AW7" s="182">
        <f t="shared" ref="AW7:AW25" si="8">AU7*G7</f>
        <v>105.42</v>
      </c>
      <c r="AX7" s="182">
        <f t="shared" ref="AX7:AX25" si="9">I7*G7</f>
        <v>52.71</v>
      </c>
      <c r="AY7" s="174">
        <v>9</v>
      </c>
      <c r="AZ7" s="174">
        <v>9</v>
      </c>
      <c r="BA7" s="182">
        <f t="shared" ref="BA7:BA25" si="10">AX7*SUM(AY7:AZ7)%+AX7</f>
        <v>62.197800000000001</v>
      </c>
    </row>
    <row r="8" spans="2:53">
      <c r="B8" s="278">
        <v>3</v>
      </c>
      <c r="C8" s="267"/>
      <c r="D8" s="268" t="s">
        <v>232</v>
      </c>
      <c r="E8" s="269"/>
      <c r="F8" s="270" t="s">
        <v>59</v>
      </c>
      <c r="G8" s="271">
        <v>90</v>
      </c>
      <c r="H8" s="272">
        <v>2</v>
      </c>
      <c r="I8" s="272"/>
      <c r="J8" s="272"/>
      <c r="K8" s="272"/>
      <c r="L8" s="272"/>
      <c r="M8" s="272"/>
      <c r="N8" s="182">
        <f t="shared" si="4"/>
        <v>2</v>
      </c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7"/>
      <c r="AT8" s="182">
        <f t="shared" si="5"/>
        <v>0</v>
      </c>
      <c r="AU8" s="182">
        <f t="shared" si="6"/>
        <v>2</v>
      </c>
      <c r="AV8" s="182">
        <f t="shared" si="7"/>
        <v>0</v>
      </c>
      <c r="AW8" s="182">
        <f t="shared" si="8"/>
        <v>180</v>
      </c>
      <c r="AX8" s="182">
        <f t="shared" si="9"/>
        <v>0</v>
      </c>
      <c r="AY8" s="174">
        <v>9</v>
      </c>
      <c r="AZ8" s="174">
        <v>9</v>
      </c>
      <c r="BA8" s="182">
        <f t="shared" si="10"/>
        <v>0</v>
      </c>
    </row>
    <row r="9" spans="2:53">
      <c r="B9" s="278">
        <v>4</v>
      </c>
      <c r="C9" s="267"/>
      <c r="D9" s="297" t="s">
        <v>293</v>
      </c>
      <c r="E9" s="269"/>
      <c r="F9" s="270" t="s">
        <v>59</v>
      </c>
      <c r="G9" s="279">
        <v>55.77</v>
      </c>
      <c r="H9" s="272">
        <v>0</v>
      </c>
      <c r="I9" s="272">
        <v>1</v>
      </c>
      <c r="J9" s="272"/>
      <c r="K9" s="272"/>
      <c r="L9" s="272"/>
      <c r="M9" s="272"/>
      <c r="N9" s="182">
        <f t="shared" si="4"/>
        <v>1</v>
      </c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7"/>
      <c r="AT9" s="182">
        <f t="shared" si="5"/>
        <v>0</v>
      </c>
      <c r="AU9" s="182">
        <f t="shared" si="6"/>
        <v>1</v>
      </c>
      <c r="AV9" s="182">
        <f t="shared" si="7"/>
        <v>0</v>
      </c>
      <c r="AW9" s="182">
        <f t="shared" si="8"/>
        <v>55.77</v>
      </c>
      <c r="AX9" s="182">
        <f t="shared" si="9"/>
        <v>55.77</v>
      </c>
      <c r="AY9" s="174">
        <v>9</v>
      </c>
      <c r="AZ9" s="174">
        <v>9</v>
      </c>
      <c r="BA9" s="182">
        <f t="shared" si="10"/>
        <v>65.808599999999998</v>
      </c>
    </row>
    <row r="10" spans="2:53">
      <c r="B10" s="278">
        <v>5</v>
      </c>
      <c r="C10" s="267"/>
      <c r="D10" s="298" t="s">
        <v>300</v>
      </c>
      <c r="E10" s="269"/>
      <c r="F10" s="270" t="s">
        <v>59</v>
      </c>
      <c r="G10" s="271">
        <v>23.3</v>
      </c>
      <c r="H10" s="272">
        <v>0</v>
      </c>
      <c r="I10" s="272"/>
      <c r="J10" s="272"/>
      <c r="K10" s="272"/>
      <c r="L10" s="272"/>
      <c r="M10" s="272"/>
      <c r="N10" s="182">
        <f t="shared" si="4"/>
        <v>0</v>
      </c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7"/>
      <c r="AT10" s="182">
        <f t="shared" si="5"/>
        <v>0</v>
      </c>
      <c r="AU10" s="182">
        <f t="shared" si="6"/>
        <v>0</v>
      </c>
      <c r="AV10" s="182">
        <f t="shared" si="7"/>
        <v>0</v>
      </c>
      <c r="AW10" s="182">
        <f t="shared" si="8"/>
        <v>0</v>
      </c>
      <c r="AX10" s="182">
        <f t="shared" si="9"/>
        <v>0</v>
      </c>
      <c r="AY10" s="174">
        <v>9</v>
      </c>
      <c r="AZ10" s="174">
        <v>9</v>
      </c>
      <c r="BA10" s="182">
        <f t="shared" si="10"/>
        <v>0</v>
      </c>
    </row>
    <row r="11" spans="2:53">
      <c r="B11" s="278">
        <v>6</v>
      </c>
      <c r="C11" s="267"/>
      <c r="D11" s="268" t="s">
        <v>233</v>
      </c>
      <c r="E11" s="269" t="s">
        <v>234</v>
      </c>
      <c r="F11" s="270" t="s">
        <v>59</v>
      </c>
      <c r="G11" s="271">
        <v>76</v>
      </c>
      <c r="H11" s="272">
        <v>3</v>
      </c>
      <c r="I11" s="272"/>
      <c r="J11" s="272"/>
      <c r="K11" s="272"/>
      <c r="L11" s="272"/>
      <c r="M11" s="272"/>
      <c r="N11" s="182">
        <f t="shared" si="4"/>
        <v>3</v>
      </c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7"/>
      <c r="AT11" s="182">
        <f t="shared" si="5"/>
        <v>0</v>
      </c>
      <c r="AU11" s="182">
        <f t="shared" si="6"/>
        <v>3</v>
      </c>
      <c r="AV11" s="182">
        <f t="shared" si="7"/>
        <v>0</v>
      </c>
      <c r="AW11" s="182">
        <f t="shared" si="8"/>
        <v>228</v>
      </c>
      <c r="AX11" s="182">
        <f t="shared" si="9"/>
        <v>0</v>
      </c>
      <c r="AY11" s="174">
        <v>9</v>
      </c>
      <c r="AZ11" s="174">
        <v>9</v>
      </c>
      <c r="BA11" s="182">
        <f t="shared" si="10"/>
        <v>0</v>
      </c>
    </row>
    <row r="12" spans="2:53">
      <c r="B12" s="278">
        <v>7</v>
      </c>
      <c r="C12" s="267"/>
      <c r="D12" s="268" t="s">
        <v>237</v>
      </c>
      <c r="E12" s="269"/>
      <c r="F12" s="282" t="s">
        <v>64</v>
      </c>
      <c r="G12" s="271">
        <v>22.66</v>
      </c>
      <c r="H12" s="272">
        <v>22</v>
      </c>
      <c r="I12" s="272">
        <v>10</v>
      </c>
      <c r="J12" s="272"/>
      <c r="K12" s="272"/>
      <c r="L12" s="272"/>
      <c r="M12" s="272"/>
      <c r="N12" s="182">
        <f t="shared" si="4"/>
        <v>32</v>
      </c>
      <c r="O12" s="276"/>
      <c r="P12" s="276"/>
      <c r="Q12" s="276"/>
      <c r="R12" s="276">
        <v>1</v>
      </c>
      <c r="S12" s="276"/>
      <c r="T12" s="276"/>
      <c r="U12" s="276"/>
      <c r="V12" s="276"/>
      <c r="W12" s="276"/>
      <c r="X12" s="276">
        <v>1</v>
      </c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7"/>
      <c r="AT12" s="182">
        <f t="shared" si="5"/>
        <v>2</v>
      </c>
      <c r="AU12" s="182">
        <f t="shared" si="6"/>
        <v>30</v>
      </c>
      <c r="AV12" s="182">
        <f t="shared" si="7"/>
        <v>45.32</v>
      </c>
      <c r="AW12" s="182">
        <f t="shared" si="8"/>
        <v>679.8</v>
      </c>
      <c r="AX12" s="182">
        <f t="shared" si="9"/>
        <v>226.6</v>
      </c>
      <c r="AY12" s="174">
        <v>9</v>
      </c>
      <c r="AZ12" s="174">
        <v>9</v>
      </c>
      <c r="BA12" s="182">
        <f t="shared" si="10"/>
        <v>267.38799999999998</v>
      </c>
    </row>
    <row r="13" spans="2:53">
      <c r="B13" s="278">
        <v>8</v>
      </c>
      <c r="C13" s="267"/>
      <c r="D13" s="268" t="s">
        <v>239</v>
      </c>
      <c r="E13" s="269"/>
      <c r="F13" s="270" t="s">
        <v>238</v>
      </c>
      <c r="G13" s="271">
        <v>15</v>
      </c>
      <c r="H13" s="272">
        <v>0</v>
      </c>
      <c r="I13" s="272"/>
      <c r="J13" s="272"/>
      <c r="K13" s="272"/>
      <c r="L13" s="272"/>
      <c r="M13" s="272"/>
      <c r="N13" s="182">
        <f t="shared" si="4"/>
        <v>0</v>
      </c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7"/>
      <c r="AT13" s="182">
        <f t="shared" si="5"/>
        <v>0</v>
      </c>
      <c r="AU13" s="182">
        <f t="shared" si="6"/>
        <v>0</v>
      </c>
      <c r="AV13" s="182">
        <f t="shared" si="7"/>
        <v>0</v>
      </c>
      <c r="AW13" s="182">
        <f t="shared" si="8"/>
        <v>0</v>
      </c>
      <c r="AX13" s="182">
        <f t="shared" si="9"/>
        <v>0</v>
      </c>
      <c r="AY13" s="174">
        <v>9</v>
      </c>
      <c r="AZ13" s="174">
        <v>9</v>
      </c>
      <c r="BA13" s="182">
        <f t="shared" si="10"/>
        <v>0</v>
      </c>
    </row>
    <row r="14" spans="2:53">
      <c r="B14" s="278">
        <v>9</v>
      </c>
      <c r="C14" s="267"/>
      <c r="D14" s="268" t="s">
        <v>240</v>
      </c>
      <c r="E14" s="269"/>
      <c r="F14" s="270" t="s">
        <v>59</v>
      </c>
      <c r="G14" s="271">
        <v>15</v>
      </c>
      <c r="H14" s="272">
        <v>2</v>
      </c>
      <c r="I14" s="272"/>
      <c r="J14" s="272"/>
      <c r="K14" s="272"/>
      <c r="L14" s="272"/>
      <c r="M14" s="272"/>
      <c r="N14" s="182">
        <f t="shared" si="4"/>
        <v>2</v>
      </c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7"/>
      <c r="AT14" s="182">
        <f t="shared" si="5"/>
        <v>0</v>
      </c>
      <c r="AU14" s="182">
        <f t="shared" si="6"/>
        <v>2</v>
      </c>
      <c r="AV14" s="182">
        <f t="shared" si="7"/>
        <v>0</v>
      </c>
      <c r="AW14" s="182">
        <f t="shared" si="8"/>
        <v>30</v>
      </c>
      <c r="AX14" s="182">
        <f t="shared" si="9"/>
        <v>0</v>
      </c>
      <c r="AY14" s="174">
        <v>9</v>
      </c>
      <c r="AZ14" s="174">
        <v>9</v>
      </c>
      <c r="BA14" s="182">
        <f t="shared" si="10"/>
        <v>0</v>
      </c>
    </row>
    <row r="15" spans="2:53">
      <c r="B15" s="278">
        <v>10</v>
      </c>
      <c r="C15" s="267"/>
      <c r="D15" s="268" t="s">
        <v>235</v>
      </c>
      <c r="E15" s="269"/>
      <c r="F15" s="270" t="s">
        <v>238</v>
      </c>
      <c r="G15" s="271"/>
      <c r="H15" s="272">
        <v>0</v>
      </c>
      <c r="I15" s="272"/>
      <c r="J15" s="272"/>
      <c r="K15" s="272"/>
      <c r="L15" s="272"/>
      <c r="M15" s="272"/>
      <c r="N15" s="182">
        <f t="shared" si="4"/>
        <v>0</v>
      </c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276"/>
      <c r="AQ15" s="276"/>
      <c r="AR15" s="276"/>
      <c r="AS15" s="277"/>
      <c r="AT15" s="182">
        <f t="shared" si="5"/>
        <v>0</v>
      </c>
      <c r="AU15" s="182">
        <f t="shared" si="6"/>
        <v>0</v>
      </c>
      <c r="AV15" s="182">
        <f t="shared" si="7"/>
        <v>0</v>
      </c>
      <c r="AW15" s="182">
        <f t="shared" si="8"/>
        <v>0</v>
      </c>
      <c r="AX15" s="182">
        <f t="shared" si="9"/>
        <v>0</v>
      </c>
      <c r="AY15" s="174">
        <v>9</v>
      </c>
      <c r="AZ15" s="174">
        <v>9</v>
      </c>
      <c r="BA15" s="182">
        <f t="shared" si="10"/>
        <v>0</v>
      </c>
    </row>
    <row r="16" spans="2:53">
      <c r="B16" s="278">
        <v>11</v>
      </c>
      <c r="C16" s="267"/>
      <c r="D16" s="297" t="s">
        <v>297</v>
      </c>
      <c r="E16" s="269"/>
      <c r="F16" s="270" t="s">
        <v>59</v>
      </c>
      <c r="G16" s="271">
        <v>56</v>
      </c>
      <c r="H16" s="272">
        <v>2</v>
      </c>
      <c r="I16" s="272">
        <v>4</v>
      </c>
      <c r="J16" s="272"/>
      <c r="K16" s="272"/>
      <c r="L16" s="272"/>
      <c r="M16" s="272"/>
      <c r="N16" s="182">
        <f t="shared" si="4"/>
        <v>6</v>
      </c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276"/>
      <c r="AQ16" s="276"/>
      <c r="AR16" s="276"/>
      <c r="AS16" s="277"/>
      <c r="AT16" s="182">
        <f t="shared" si="5"/>
        <v>0</v>
      </c>
      <c r="AU16" s="182">
        <f t="shared" si="6"/>
        <v>6</v>
      </c>
      <c r="AV16" s="182">
        <f t="shared" si="7"/>
        <v>0</v>
      </c>
      <c r="AW16" s="182">
        <f t="shared" si="8"/>
        <v>336</v>
      </c>
      <c r="AX16" s="182">
        <f t="shared" si="9"/>
        <v>224</v>
      </c>
      <c r="AY16" s="174">
        <v>9</v>
      </c>
      <c r="AZ16" s="174">
        <v>9</v>
      </c>
      <c r="BA16" s="182">
        <f t="shared" si="10"/>
        <v>264.32</v>
      </c>
    </row>
    <row r="17" spans="1:1026">
      <c r="B17" s="278">
        <v>12</v>
      </c>
      <c r="C17" s="267"/>
      <c r="D17" s="268" t="s">
        <v>236</v>
      </c>
      <c r="E17" s="269"/>
      <c r="F17" s="270" t="s">
        <v>59</v>
      </c>
      <c r="G17" s="271"/>
      <c r="H17" s="272">
        <v>0</v>
      </c>
      <c r="I17" s="272"/>
      <c r="J17" s="272"/>
      <c r="K17" s="272"/>
      <c r="L17" s="272"/>
      <c r="M17" s="272"/>
      <c r="N17" s="182">
        <f t="shared" si="4"/>
        <v>0</v>
      </c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276"/>
      <c r="AQ17" s="276"/>
      <c r="AR17" s="276"/>
      <c r="AS17" s="277"/>
      <c r="AT17" s="182">
        <f t="shared" si="5"/>
        <v>0</v>
      </c>
      <c r="AU17" s="182">
        <f t="shared" si="6"/>
        <v>0</v>
      </c>
      <c r="AV17" s="182">
        <f t="shared" si="7"/>
        <v>0</v>
      </c>
      <c r="AW17" s="182">
        <f t="shared" si="8"/>
        <v>0</v>
      </c>
      <c r="AX17" s="182">
        <f t="shared" si="9"/>
        <v>0</v>
      </c>
      <c r="AY17" s="174">
        <v>9</v>
      </c>
      <c r="AZ17" s="174">
        <v>9</v>
      </c>
      <c r="BA17" s="182">
        <f t="shared" si="10"/>
        <v>0</v>
      </c>
    </row>
    <row r="18" spans="1:1026">
      <c r="B18" s="278">
        <v>13</v>
      </c>
      <c r="C18" s="267"/>
      <c r="D18" s="297" t="s">
        <v>294</v>
      </c>
      <c r="E18" s="269"/>
      <c r="F18" s="270" t="s">
        <v>59</v>
      </c>
      <c r="G18" s="271">
        <v>91</v>
      </c>
      <c r="H18" s="272">
        <v>0</v>
      </c>
      <c r="I18" s="272"/>
      <c r="J18" s="272"/>
      <c r="K18" s="272"/>
      <c r="L18" s="272"/>
      <c r="M18" s="272"/>
      <c r="N18" s="182">
        <f t="shared" si="4"/>
        <v>0</v>
      </c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276"/>
      <c r="AQ18" s="276"/>
      <c r="AR18" s="276"/>
      <c r="AS18" s="277"/>
      <c r="AT18" s="182">
        <f t="shared" si="5"/>
        <v>0</v>
      </c>
      <c r="AU18" s="182">
        <f t="shared" si="6"/>
        <v>0</v>
      </c>
      <c r="AV18" s="182">
        <f t="shared" si="7"/>
        <v>0</v>
      </c>
      <c r="AW18" s="182">
        <f t="shared" si="8"/>
        <v>0</v>
      </c>
      <c r="AX18" s="182">
        <f t="shared" si="9"/>
        <v>0</v>
      </c>
      <c r="AY18" s="174">
        <v>9</v>
      </c>
      <c r="AZ18" s="174">
        <v>9</v>
      </c>
      <c r="BA18" s="182">
        <f t="shared" si="10"/>
        <v>0</v>
      </c>
    </row>
    <row r="19" spans="1:1026">
      <c r="B19" s="278">
        <v>14</v>
      </c>
      <c r="C19" s="267"/>
      <c r="D19" s="314" t="s">
        <v>457</v>
      </c>
      <c r="E19" s="269"/>
      <c r="F19" s="282" t="s">
        <v>59</v>
      </c>
      <c r="G19" s="271"/>
      <c r="H19" s="272">
        <v>10</v>
      </c>
      <c r="I19" s="272"/>
      <c r="J19" s="272"/>
      <c r="K19" s="272"/>
      <c r="L19" s="272"/>
      <c r="M19" s="272"/>
      <c r="N19" s="182">
        <f t="shared" si="4"/>
        <v>10</v>
      </c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276"/>
      <c r="AQ19" s="276"/>
      <c r="AR19" s="276"/>
      <c r="AS19" s="277"/>
      <c r="AT19" s="182">
        <f t="shared" si="5"/>
        <v>0</v>
      </c>
      <c r="AU19" s="182">
        <f t="shared" si="6"/>
        <v>10</v>
      </c>
      <c r="AV19" s="182">
        <f t="shared" si="7"/>
        <v>0</v>
      </c>
      <c r="AW19" s="182">
        <f t="shared" si="8"/>
        <v>0</v>
      </c>
      <c r="AX19" s="182">
        <f t="shared" si="9"/>
        <v>0</v>
      </c>
      <c r="AY19" s="174">
        <v>9</v>
      </c>
      <c r="AZ19" s="174">
        <v>9</v>
      </c>
      <c r="BA19" s="182">
        <f t="shared" si="10"/>
        <v>0</v>
      </c>
    </row>
    <row r="20" spans="1:1026">
      <c r="B20" s="278">
        <v>15</v>
      </c>
      <c r="C20" s="267"/>
      <c r="D20" s="316" t="s">
        <v>481</v>
      </c>
      <c r="E20" s="269"/>
      <c r="F20" s="282" t="s">
        <v>12</v>
      </c>
      <c r="G20" s="271"/>
      <c r="H20" s="272">
        <v>3</v>
      </c>
      <c r="I20" s="272"/>
      <c r="J20" s="272"/>
      <c r="K20" s="272"/>
      <c r="L20" s="272"/>
      <c r="M20" s="272"/>
      <c r="N20" s="182">
        <f t="shared" si="4"/>
        <v>3</v>
      </c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276"/>
      <c r="AQ20" s="276"/>
      <c r="AR20" s="276"/>
      <c r="AS20" s="277"/>
      <c r="AT20" s="182">
        <f t="shared" si="5"/>
        <v>0</v>
      </c>
      <c r="AU20" s="182">
        <f t="shared" si="6"/>
        <v>3</v>
      </c>
      <c r="AV20" s="182">
        <f t="shared" si="7"/>
        <v>0</v>
      </c>
      <c r="AW20" s="182">
        <f t="shared" si="8"/>
        <v>0</v>
      </c>
      <c r="AX20" s="182">
        <f t="shared" si="9"/>
        <v>0</v>
      </c>
      <c r="AY20" s="174">
        <v>9</v>
      </c>
      <c r="AZ20" s="174">
        <v>9</v>
      </c>
      <c r="BA20" s="182">
        <f t="shared" si="10"/>
        <v>0</v>
      </c>
    </row>
    <row r="21" spans="1:1026">
      <c r="B21" s="278">
        <v>16</v>
      </c>
      <c r="C21" s="267"/>
      <c r="D21" s="297" t="s">
        <v>296</v>
      </c>
      <c r="E21" s="269"/>
      <c r="F21" s="282" t="s">
        <v>59</v>
      </c>
      <c r="G21" s="271">
        <v>2</v>
      </c>
      <c r="H21" s="272">
        <v>24</v>
      </c>
      <c r="I21" s="272"/>
      <c r="J21" s="272"/>
      <c r="K21" s="272"/>
      <c r="L21" s="272"/>
      <c r="M21" s="272"/>
      <c r="N21" s="182">
        <f t="shared" si="4"/>
        <v>24</v>
      </c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276"/>
      <c r="AQ21" s="276"/>
      <c r="AR21" s="276"/>
      <c r="AS21" s="277"/>
      <c r="AT21" s="182">
        <f t="shared" si="5"/>
        <v>0</v>
      </c>
      <c r="AU21" s="182">
        <f t="shared" si="6"/>
        <v>24</v>
      </c>
      <c r="AV21" s="182">
        <f t="shared" si="7"/>
        <v>0</v>
      </c>
      <c r="AW21" s="182">
        <f t="shared" si="8"/>
        <v>48</v>
      </c>
      <c r="AX21" s="182">
        <f t="shared" si="9"/>
        <v>0</v>
      </c>
      <c r="AY21" s="174">
        <v>9</v>
      </c>
      <c r="AZ21" s="174">
        <v>9</v>
      </c>
      <c r="BA21" s="182">
        <f t="shared" si="10"/>
        <v>0</v>
      </c>
    </row>
    <row r="22" spans="1:1026">
      <c r="B22" s="278">
        <v>17</v>
      </c>
      <c r="C22" s="267"/>
      <c r="D22" s="297" t="s">
        <v>295</v>
      </c>
      <c r="E22" s="269"/>
      <c r="F22" s="282" t="s">
        <v>59</v>
      </c>
      <c r="G22" s="271">
        <v>3</v>
      </c>
      <c r="H22" s="272">
        <v>24</v>
      </c>
      <c r="I22" s="272"/>
      <c r="J22" s="272"/>
      <c r="K22" s="272"/>
      <c r="L22" s="272"/>
      <c r="M22" s="272"/>
      <c r="N22" s="182">
        <f t="shared" si="4"/>
        <v>24</v>
      </c>
      <c r="O22" s="276"/>
      <c r="P22" s="276"/>
      <c r="Q22" s="276"/>
      <c r="R22" s="276"/>
      <c r="S22" s="276">
        <v>3</v>
      </c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276"/>
      <c r="AQ22" s="276"/>
      <c r="AR22" s="276"/>
      <c r="AS22" s="277"/>
      <c r="AT22" s="182">
        <f t="shared" si="5"/>
        <v>3</v>
      </c>
      <c r="AU22" s="182">
        <f t="shared" si="6"/>
        <v>21</v>
      </c>
      <c r="AV22" s="182">
        <f t="shared" si="7"/>
        <v>9</v>
      </c>
      <c r="AW22" s="182">
        <f t="shared" si="8"/>
        <v>63</v>
      </c>
      <c r="AX22" s="182">
        <f t="shared" si="9"/>
        <v>0</v>
      </c>
      <c r="AY22" s="174">
        <v>9</v>
      </c>
      <c r="AZ22" s="174">
        <v>9</v>
      </c>
      <c r="BA22" s="182">
        <f t="shared" si="10"/>
        <v>0</v>
      </c>
    </row>
    <row r="23" spans="1:1026">
      <c r="B23" s="278">
        <v>18</v>
      </c>
      <c r="C23" s="267"/>
      <c r="D23" s="297" t="s">
        <v>298</v>
      </c>
      <c r="E23" s="269"/>
      <c r="F23" s="282" t="s">
        <v>59</v>
      </c>
      <c r="G23" s="271"/>
      <c r="H23" s="272">
        <v>1</v>
      </c>
      <c r="I23" s="272"/>
      <c r="J23" s="272"/>
      <c r="K23" s="272"/>
      <c r="L23" s="272"/>
      <c r="M23" s="272"/>
      <c r="N23" s="182">
        <f t="shared" si="4"/>
        <v>1</v>
      </c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276"/>
      <c r="AQ23" s="276"/>
      <c r="AR23" s="276"/>
      <c r="AS23" s="277"/>
      <c r="AT23" s="182">
        <f t="shared" si="5"/>
        <v>0</v>
      </c>
      <c r="AU23" s="182">
        <f t="shared" si="6"/>
        <v>1</v>
      </c>
      <c r="AV23" s="182">
        <f t="shared" si="7"/>
        <v>0</v>
      </c>
      <c r="AW23" s="182">
        <f t="shared" si="8"/>
        <v>0</v>
      </c>
      <c r="AX23" s="182">
        <f t="shared" si="9"/>
        <v>0</v>
      </c>
      <c r="AY23" s="174">
        <v>9</v>
      </c>
      <c r="AZ23" s="174">
        <v>9</v>
      </c>
      <c r="BA23" s="182">
        <f t="shared" si="10"/>
        <v>0</v>
      </c>
    </row>
    <row r="24" spans="1:1026">
      <c r="B24" s="278"/>
      <c r="C24" s="267"/>
      <c r="D24" s="268"/>
      <c r="E24" s="269"/>
      <c r="F24" s="270"/>
      <c r="G24" s="271"/>
      <c r="H24" s="272">
        <v>0</v>
      </c>
      <c r="I24" s="272"/>
      <c r="J24" s="272"/>
      <c r="K24" s="272"/>
      <c r="L24" s="272"/>
      <c r="M24" s="272"/>
      <c r="N24" s="182">
        <f t="shared" si="4"/>
        <v>0</v>
      </c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276"/>
      <c r="AQ24" s="276"/>
      <c r="AR24" s="276"/>
      <c r="AS24" s="277"/>
      <c r="AT24" s="182">
        <f t="shared" si="5"/>
        <v>0</v>
      </c>
      <c r="AU24" s="182">
        <f t="shared" si="6"/>
        <v>0</v>
      </c>
      <c r="AV24" s="182">
        <f t="shared" si="7"/>
        <v>0</v>
      </c>
      <c r="AW24" s="182">
        <f t="shared" si="8"/>
        <v>0</v>
      </c>
      <c r="AX24" s="182">
        <f t="shared" si="9"/>
        <v>0</v>
      </c>
      <c r="AY24" s="174">
        <v>9</v>
      </c>
      <c r="AZ24" s="174">
        <v>9</v>
      </c>
      <c r="BA24" s="182">
        <f t="shared" si="10"/>
        <v>0</v>
      </c>
    </row>
    <row r="25" spans="1:1026">
      <c r="B25" s="278"/>
      <c r="C25" s="267"/>
      <c r="D25" s="273"/>
      <c r="E25" s="273"/>
      <c r="F25" s="270"/>
      <c r="G25" s="271"/>
      <c r="H25" s="274">
        <v>0</v>
      </c>
      <c r="I25" s="272"/>
      <c r="J25" s="272"/>
      <c r="K25" s="272"/>
      <c r="L25" s="272"/>
      <c r="M25" s="272"/>
      <c r="N25" s="182">
        <f>SUM(H25:L25)</f>
        <v>0</v>
      </c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276"/>
      <c r="AQ25" s="276"/>
      <c r="AR25" s="276"/>
      <c r="AS25" s="277"/>
      <c r="AT25" s="182">
        <f t="shared" si="5"/>
        <v>0</v>
      </c>
      <c r="AU25" s="182">
        <f t="shared" si="6"/>
        <v>0</v>
      </c>
      <c r="AV25" s="182">
        <f t="shared" si="7"/>
        <v>0</v>
      </c>
      <c r="AW25" s="182">
        <f t="shared" si="8"/>
        <v>0</v>
      </c>
      <c r="AX25" s="182">
        <f t="shared" si="9"/>
        <v>0</v>
      </c>
      <c r="AY25" s="174">
        <v>9</v>
      </c>
      <c r="AZ25" s="174">
        <v>9</v>
      </c>
      <c r="BA25" s="182">
        <f t="shared" si="10"/>
        <v>0</v>
      </c>
    </row>
    <row r="26" spans="1:1026" s="149" customFormat="1">
      <c r="B26" s="278"/>
      <c r="C26" s="267"/>
      <c r="D26" s="273"/>
      <c r="E26" s="273"/>
      <c r="F26" s="275"/>
      <c r="G26" s="271"/>
      <c r="H26" s="272">
        <v>0</v>
      </c>
      <c r="I26" s="272"/>
      <c r="J26" s="272"/>
      <c r="K26" s="272"/>
      <c r="L26" s="272"/>
      <c r="M26" s="272"/>
      <c r="N26" s="182">
        <f>SUM(H26:L26)</f>
        <v>0</v>
      </c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276"/>
      <c r="AQ26" s="276"/>
      <c r="AR26" s="276"/>
      <c r="AS26" s="277"/>
      <c r="AT26" s="182">
        <f t="shared" si="3"/>
        <v>0</v>
      </c>
      <c r="AU26" s="182">
        <f t="shared" ref="AU26" si="11">N26-AT26</f>
        <v>0</v>
      </c>
      <c r="AV26" s="182">
        <f>AT26*G26</f>
        <v>0</v>
      </c>
      <c r="AW26" s="182">
        <f>AU26*G26</f>
        <v>0</v>
      </c>
      <c r="AX26" s="182">
        <f>I26*G26</f>
        <v>0</v>
      </c>
      <c r="AY26" s="174"/>
      <c r="AZ26" s="174"/>
      <c r="BA26" s="182">
        <f t="shared" ref="BA26" si="12">AX26*SUM(AY26:AZ26)%+AX26</f>
        <v>0</v>
      </c>
    </row>
    <row r="27" spans="1:1026" s="149" customFormat="1" ht="12.75">
      <c r="B27" s="173"/>
      <c r="C27" s="175"/>
      <c r="D27" s="352" t="s">
        <v>52</v>
      </c>
      <c r="E27" s="353"/>
      <c r="F27" s="353"/>
      <c r="G27" s="354"/>
      <c r="H27" s="176">
        <f>SUM(H6:H26)</f>
        <v>97</v>
      </c>
      <c r="I27" s="176">
        <f>SUM(I6:I26)</f>
        <v>22</v>
      </c>
      <c r="J27" s="176"/>
      <c r="K27" s="176"/>
      <c r="L27" s="176"/>
      <c r="M27" s="176"/>
      <c r="N27" s="176">
        <f t="shared" ref="N27:AR27" si="13">SUM(N6:N26)</f>
        <v>119</v>
      </c>
      <c r="O27" s="176">
        <f t="shared" si="13"/>
        <v>0</v>
      </c>
      <c r="P27" s="176">
        <f t="shared" si="13"/>
        <v>0</v>
      </c>
      <c r="Q27" s="176">
        <f t="shared" si="13"/>
        <v>0</v>
      </c>
      <c r="R27" s="176">
        <f t="shared" si="13"/>
        <v>2</v>
      </c>
      <c r="S27" s="176">
        <f t="shared" si="13"/>
        <v>3</v>
      </c>
      <c r="T27" s="176">
        <f t="shared" si="13"/>
        <v>0</v>
      </c>
      <c r="U27" s="176">
        <f t="shared" si="13"/>
        <v>0</v>
      </c>
      <c r="V27" s="176">
        <f t="shared" si="13"/>
        <v>0</v>
      </c>
      <c r="W27" s="176">
        <f t="shared" si="13"/>
        <v>0</v>
      </c>
      <c r="X27" s="176">
        <f t="shared" si="13"/>
        <v>2</v>
      </c>
      <c r="Y27" s="176">
        <f t="shared" si="13"/>
        <v>0</v>
      </c>
      <c r="Z27" s="176">
        <f t="shared" si="13"/>
        <v>0</v>
      </c>
      <c r="AA27" s="176">
        <f t="shared" si="13"/>
        <v>0</v>
      </c>
      <c r="AB27" s="176">
        <f t="shared" si="13"/>
        <v>0</v>
      </c>
      <c r="AC27" s="176">
        <f t="shared" si="13"/>
        <v>0</v>
      </c>
      <c r="AD27" s="176">
        <f t="shared" si="13"/>
        <v>0</v>
      </c>
      <c r="AE27" s="176">
        <f t="shared" si="13"/>
        <v>0</v>
      </c>
      <c r="AF27" s="176">
        <f t="shared" si="13"/>
        <v>0</v>
      </c>
      <c r="AG27" s="176">
        <f t="shared" si="13"/>
        <v>0</v>
      </c>
      <c r="AH27" s="176">
        <f t="shared" si="13"/>
        <v>0</v>
      </c>
      <c r="AI27" s="176">
        <f t="shared" si="13"/>
        <v>0</v>
      </c>
      <c r="AJ27" s="176">
        <f t="shared" si="13"/>
        <v>0</v>
      </c>
      <c r="AK27" s="176">
        <f t="shared" si="13"/>
        <v>0</v>
      </c>
      <c r="AL27" s="176">
        <f t="shared" si="13"/>
        <v>0</v>
      </c>
      <c r="AM27" s="176">
        <f t="shared" si="13"/>
        <v>0</v>
      </c>
      <c r="AN27" s="176">
        <f t="shared" si="13"/>
        <v>0</v>
      </c>
      <c r="AO27" s="176">
        <f t="shared" si="13"/>
        <v>0</v>
      </c>
      <c r="AP27" s="176">
        <f t="shared" si="13"/>
        <v>0</v>
      </c>
      <c r="AQ27" s="176">
        <f t="shared" si="13"/>
        <v>0</v>
      </c>
      <c r="AR27" s="176">
        <f t="shared" si="13"/>
        <v>0</v>
      </c>
      <c r="AS27" s="177"/>
      <c r="AT27" s="176">
        <f t="shared" ref="AT27:BA27" si="14">SUM(AT6:AT26)</f>
        <v>7</v>
      </c>
      <c r="AU27" s="176">
        <f t="shared" si="14"/>
        <v>112</v>
      </c>
      <c r="AV27" s="176">
        <f t="shared" si="14"/>
        <v>494.32</v>
      </c>
      <c r="AW27" s="176">
        <f t="shared" si="14"/>
        <v>3265.99</v>
      </c>
      <c r="AX27" s="176">
        <f t="shared" si="14"/>
        <v>1879.08</v>
      </c>
      <c r="AY27" s="176">
        <f t="shared" si="14"/>
        <v>180</v>
      </c>
      <c r="AZ27" s="176">
        <f t="shared" si="14"/>
        <v>180</v>
      </c>
      <c r="BA27" s="176">
        <f t="shared" si="14"/>
        <v>2217.3143999999998</v>
      </c>
    </row>
    <row r="28" spans="1:1026" s="149" customFormat="1">
      <c r="A28" s="178"/>
      <c r="D28" s="150"/>
      <c r="E28" s="150"/>
      <c r="F28" s="150"/>
      <c r="G28" s="151"/>
      <c r="H28" s="152"/>
      <c r="I28" s="151"/>
      <c r="J28" s="151"/>
      <c r="K28" s="151"/>
      <c r="L28" s="151"/>
      <c r="M28" s="151"/>
      <c r="AP28" s="153"/>
      <c r="AU28" s="151"/>
      <c r="AMJ28" s="178"/>
      <c r="AMK28" s="178"/>
      <c r="AML28" s="178"/>
    </row>
    <row r="29" spans="1:1026" s="149" customFormat="1">
      <c r="A29" s="178"/>
      <c r="D29" s="150"/>
      <c r="E29" s="150"/>
      <c r="F29" s="150"/>
      <c r="G29" s="151"/>
      <c r="H29" s="152"/>
      <c r="I29" s="151"/>
      <c r="J29" s="151"/>
      <c r="K29" s="151"/>
      <c r="L29" s="151"/>
      <c r="M29" s="151"/>
      <c r="AP29" s="153"/>
      <c r="AU29" s="151"/>
      <c r="AMJ29" s="178"/>
      <c r="AMK29" s="178"/>
      <c r="AML29" s="178"/>
    </row>
    <row r="30" spans="1:1026" s="149" customFormat="1">
      <c r="A30" s="178"/>
      <c r="D30" s="150"/>
      <c r="E30" s="150"/>
      <c r="F30" s="150"/>
      <c r="G30" s="151"/>
      <c r="H30" s="152"/>
      <c r="I30" s="151"/>
      <c r="J30" s="151"/>
      <c r="K30" s="151"/>
      <c r="L30" s="151"/>
      <c r="M30" s="151"/>
      <c r="AP30" s="153"/>
      <c r="AU30" s="151"/>
      <c r="AMJ30" s="178"/>
      <c r="AMK30" s="178"/>
      <c r="AML30" s="178"/>
    </row>
    <row r="31" spans="1:1026" s="149" customFormat="1">
      <c r="A31" s="178"/>
      <c r="D31" s="150"/>
      <c r="E31" s="150"/>
      <c r="F31" s="150"/>
      <c r="G31" s="151"/>
      <c r="H31" s="152"/>
      <c r="I31" s="151"/>
      <c r="J31" s="151"/>
      <c r="K31" s="151"/>
      <c r="L31" s="151"/>
      <c r="M31" s="151"/>
      <c r="AP31" s="153"/>
      <c r="AU31" s="151"/>
      <c r="AMJ31" s="178"/>
      <c r="AMK31" s="178"/>
      <c r="AML31" s="178"/>
    </row>
  </sheetData>
  <sheetProtection algorithmName="SHA-512" hashValue="WL31iTh3RhC+CLfSvf1tXlBX1BOR44JEz9deqyJLPdSYOT1ThbNy1pRM414RJVPkPupRdDFwoCKayM9Rtqz6pw==" saltValue="98XjHhPg093oVdh7epibog==" spinCount="100000" sheet="1" objects="1" scenarios="1" insertRows="0"/>
  <customSheetViews>
    <customSheetView guid="{5E113600-004F-4409-A088-DFECFF9BC96A}" showGridLines="0" hiddenColumns="1">
      <pane xSplit="14" ySplit="5" topLeftCell="O6" activePane="bottomRight" state="frozen"/>
      <selection pane="bottomRight" activeCell="AN12" sqref="AN12"/>
      <pageMargins left="0.7" right="0.7" top="0.75" bottom="0.75" header="0.51180555555555496" footer="0.51180555555555496"/>
      <pageSetup paperSize="9" firstPageNumber="0" orientation="portrait" horizontalDpi="300" verticalDpi="300" r:id="rId1"/>
    </customSheetView>
    <customSheetView guid="{1F97382E-80B0-473D-874E-BD5E60D01A4B}" showGridLines="0" hiddenColumns="1">
      <pane xSplit="14" ySplit="5" topLeftCell="O6" activePane="bottomRight" state="frozen"/>
      <selection pane="bottomRight" activeCell="AN12" sqref="AN12"/>
      <pageMargins left="0.7" right="0.7" top="0.75" bottom="0.75" header="0.51180555555555496" footer="0.51180555555555496"/>
      <pageSetup paperSize="9" firstPageNumber="0" orientation="portrait" horizontalDpi="300" verticalDpi="300" r:id="rId2"/>
    </customSheetView>
    <customSheetView guid="{7663FDEA-AE2F-416B-8123-1D493B6639C0}" showGridLines="0" hiddenColumns="1">
      <pane xSplit="14" ySplit="5" topLeftCell="O6" activePane="bottomRight" state="frozen"/>
      <selection pane="bottomRight" activeCell="AN12" sqref="AN12"/>
      <pageMargins left="0.7" right="0.7" top="0.75" bottom="0.75" header="0.51180555555555496" footer="0.51180555555555496"/>
      <pageSetup paperSize="9" firstPageNumber="0" orientation="portrait" horizontalDpi="300" verticalDpi="300" r:id="rId3"/>
    </customSheetView>
    <customSheetView guid="{C287C8AD-6E2E-4D5F-930B-C18EF9030790}" showGridLines="0" hiddenColumns="1">
      <pane xSplit="14" ySplit="5" topLeftCell="O6" activePane="bottomRight" state="frozen"/>
      <selection pane="bottomRight" activeCell="AN12" sqref="AN12"/>
      <pageMargins left="0.7" right="0.7" top="0.75" bottom="0.75" header="0.51180555555555496" footer="0.51180555555555496"/>
      <pageSetup paperSize="9" firstPageNumber="0" orientation="portrait" horizontalDpi="300" verticalDpi="300" r:id="rId4"/>
    </customSheetView>
  </customSheetViews>
  <mergeCells count="2">
    <mergeCell ref="B2:N2"/>
    <mergeCell ref="D27:G27"/>
  </mergeCells>
  <conditionalFormatting sqref="B4:M4 O4:AS4">
    <cfRule type="containsText" dxfId="1317" priority="11" operator="containsText" text="sat"/>
    <cfRule type="containsText" dxfId="1316" priority="12" operator="containsText" text="sun"/>
  </conditionalFormatting>
  <conditionalFormatting sqref="D6:E24">
    <cfRule type="duplicateValues" priority="1244"/>
    <cfRule type="duplicateValues" priority="1245"/>
    <cfRule type="duplicateValues" priority="1246"/>
    <cfRule type="duplicateValues" priority="1247"/>
  </conditionalFormatting>
  <conditionalFormatting sqref="D25:E25">
    <cfRule type="duplicateValues" priority="7"/>
    <cfRule type="duplicateValues" priority="8"/>
    <cfRule type="duplicateValues" priority="9"/>
    <cfRule type="duplicateValues" priority="10"/>
  </conditionalFormatting>
  <conditionalFormatting sqref="D26:E26">
    <cfRule type="duplicateValues" priority="13"/>
    <cfRule type="duplicateValues" priority="14"/>
    <cfRule type="duplicateValues" priority="15"/>
    <cfRule type="duplicateValues" priority="16"/>
  </conditionalFormatting>
  <conditionalFormatting sqref="N1:N1048576 AT1:AX1048576 BA1:BA1048576">
    <cfRule type="cellIs" dxfId="1315" priority="1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ME141"/>
  <sheetViews>
    <sheetView showGridLines="0" zoomScaleNormal="100" workbookViewId="0">
      <pane xSplit="9" ySplit="5" topLeftCell="J32" activePane="bottomRight" state="frozen"/>
      <selection pane="topRight" activeCell="J1" sqref="J1"/>
      <selection pane="bottomLeft" activeCell="A5" sqref="A5"/>
      <selection pane="bottomRight" activeCell="G5" sqref="G5"/>
    </sheetView>
  </sheetViews>
  <sheetFormatPr defaultColWidth="0" defaultRowHeight="15" zeroHeight="1"/>
  <cols>
    <col min="1" max="1" width="1.140625" style="178" customWidth="1"/>
    <col min="2" max="2" width="6.140625" style="149" bestFit="1" customWidth="1"/>
    <col min="3" max="3" width="32.5703125" style="150" bestFit="1" customWidth="1"/>
    <col min="4" max="4" width="16.42578125" style="150" bestFit="1" customWidth="1"/>
    <col min="5" max="5" width="6.7109375" style="150" bestFit="1" customWidth="1"/>
    <col min="6" max="6" width="8.140625" style="151" bestFit="1" customWidth="1"/>
    <col min="7" max="7" width="7.5703125" style="152" bestFit="1" customWidth="1"/>
    <col min="8" max="8" width="5.7109375" style="151" bestFit="1" customWidth="1"/>
    <col min="9" max="9" width="5.85546875" style="149" bestFit="1" customWidth="1"/>
    <col min="10" max="13" width="3.28515625" style="149" bestFit="1" customWidth="1"/>
    <col min="14" max="14" width="3.85546875" style="149" bestFit="1" customWidth="1"/>
    <col min="15" max="24" width="3.28515625" style="149" bestFit="1" customWidth="1"/>
    <col min="25" max="25" width="3.85546875" style="149" bestFit="1" customWidth="1"/>
    <col min="26" max="36" width="3.28515625" style="149" bestFit="1" customWidth="1"/>
    <col min="37" max="37" width="3.28515625" style="153" bestFit="1" customWidth="1"/>
    <col min="38" max="38" width="3.28515625" style="149" bestFit="1" customWidth="1"/>
    <col min="39" max="39" width="3.28515625" style="149" customWidth="1"/>
    <col min="40" max="40" width="3.28515625" style="149" bestFit="1" customWidth="1"/>
    <col min="41" max="41" width="5.5703125" style="149" bestFit="1" customWidth="1"/>
    <col min="42" max="42" width="6.42578125" style="151" bestFit="1" customWidth="1"/>
    <col min="43" max="45" width="7.42578125" style="149" bestFit="1" customWidth="1"/>
    <col min="46" max="46" width="4.85546875" style="149" bestFit="1" customWidth="1"/>
    <col min="47" max="47" width="4.7109375" style="149" bestFit="1" customWidth="1"/>
    <col min="48" max="48" width="8.140625" style="149" bestFit="1" customWidth="1"/>
    <col min="49" max="49" width="12.7109375" style="149" customWidth="1"/>
    <col min="50" max="50" width="9.140625" style="149" hidden="1" customWidth="1"/>
    <col min="51" max="1018" width="0" style="149" hidden="1" customWidth="1"/>
    <col min="1019" max="1019" width="0" style="178" hidden="1" customWidth="1"/>
    <col min="1020" max="16384" width="9.140625" style="178" hidden="1"/>
  </cols>
  <sheetData>
    <row r="1" spans="2:49" ht="7.5" customHeight="1" thickBot="1"/>
    <row r="2" spans="2:49" ht="23.25" thickBot="1">
      <c r="B2" s="355" t="str">
        <f>Summary!R5&amp;" Stationary Material Consumption for the Month of "&amp; TEXT(Summary!R4," MMM YY")</f>
        <v>SOC Stationary Material Consumption for the Month of  Feb 26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7"/>
      <c r="V2" s="154"/>
      <c r="W2" s="154"/>
      <c r="X2" s="154"/>
      <c r="Y2" s="154"/>
      <c r="Z2" s="154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6"/>
      <c r="AL2" s="155"/>
      <c r="AM2" s="155"/>
      <c r="AN2" s="155"/>
      <c r="AO2" s="157"/>
      <c r="AP2" s="154"/>
      <c r="AQ2" s="154"/>
    </row>
    <row r="3" spans="2:49">
      <c r="B3" s="154"/>
      <c r="C3" s="158"/>
      <c r="D3" s="158"/>
      <c r="E3" s="158"/>
      <c r="F3" s="158"/>
      <c r="G3" s="159"/>
      <c r="H3" s="160"/>
      <c r="I3" s="154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61"/>
      <c r="AL3" s="154"/>
      <c r="AM3" s="154"/>
      <c r="AN3" s="154"/>
      <c r="AO3" s="154"/>
      <c r="AP3" s="154"/>
      <c r="AQ3" s="154"/>
    </row>
    <row r="4" spans="2:49" ht="24.75">
      <c r="B4" s="162"/>
      <c r="C4" s="163"/>
      <c r="D4" s="163"/>
      <c r="E4" s="163"/>
      <c r="F4" s="163"/>
      <c r="G4" s="164"/>
      <c r="H4" s="165"/>
      <c r="I4" s="166" t="s">
        <v>258</v>
      </c>
      <c r="J4" s="167" t="str">
        <f>TEXT(J5,"ddd")</f>
        <v>Sun</v>
      </c>
      <c r="K4" s="167" t="str">
        <f t="shared" ref="K4:AC4" si="0">TEXT(K5,"ddd")</f>
        <v>Mon</v>
      </c>
      <c r="L4" s="167" t="str">
        <f t="shared" si="0"/>
        <v>Tue</v>
      </c>
      <c r="M4" s="167" t="str">
        <f t="shared" si="0"/>
        <v>Wed</v>
      </c>
      <c r="N4" s="167" t="str">
        <f t="shared" si="0"/>
        <v>Thu</v>
      </c>
      <c r="O4" s="167" t="str">
        <f t="shared" si="0"/>
        <v>Fri</v>
      </c>
      <c r="P4" s="167" t="str">
        <f t="shared" si="0"/>
        <v>Sat</v>
      </c>
      <c r="Q4" s="167" t="str">
        <f t="shared" si="0"/>
        <v>Sun</v>
      </c>
      <c r="R4" s="167" t="str">
        <f t="shared" si="0"/>
        <v>Mon</v>
      </c>
      <c r="S4" s="167" t="str">
        <f t="shared" si="0"/>
        <v>Tue</v>
      </c>
      <c r="T4" s="167" t="str">
        <f t="shared" si="0"/>
        <v>Wed</v>
      </c>
      <c r="U4" s="167" t="str">
        <f t="shared" si="0"/>
        <v>Thu</v>
      </c>
      <c r="V4" s="167" t="str">
        <f t="shared" si="0"/>
        <v>Fri</v>
      </c>
      <c r="W4" s="167" t="str">
        <f t="shared" si="0"/>
        <v>Sat</v>
      </c>
      <c r="X4" s="167" t="str">
        <f t="shared" si="0"/>
        <v>Sun</v>
      </c>
      <c r="Y4" s="167" t="str">
        <f t="shared" si="0"/>
        <v>Mon</v>
      </c>
      <c r="Z4" s="167" t="str">
        <f t="shared" si="0"/>
        <v>Tue</v>
      </c>
      <c r="AA4" s="167" t="str">
        <f t="shared" si="0"/>
        <v>Wed</v>
      </c>
      <c r="AB4" s="167" t="str">
        <f t="shared" si="0"/>
        <v>Thu</v>
      </c>
      <c r="AC4" s="167" t="str">
        <f t="shared" si="0"/>
        <v>Fri</v>
      </c>
      <c r="AD4" s="167" t="str">
        <f>TEXT(AD5,"ddd")</f>
        <v>Sat</v>
      </c>
      <c r="AE4" s="167" t="str">
        <f t="shared" ref="AE4:AN4" si="1">TEXT(AE5,"ddd")</f>
        <v>Sun</v>
      </c>
      <c r="AF4" s="167" t="str">
        <f t="shared" si="1"/>
        <v>Mon</v>
      </c>
      <c r="AG4" s="167" t="str">
        <f t="shared" si="1"/>
        <v>Tue</v>
      </c>
      <c r="AH4" s="167" t="str">
        <f t="shared" si="1"/>
        <v>Wed</v>
      </c>
      <c r="AI4" s="167" t="str">
        <f t="shared" si="1"/>
        <v>Thu</v>
      </c>
      <c r="AJ4" s="167" t="str">
        <f t="shared" si="1"/>
        <v>Fri</v>
      </c>
      <c r="AK4" s="167" t="str">
        <f t="shared" si="1"/>
        <v>Sat</v>
      </c>
      <c r="AL4" s="167" t="str">
        <f t="shared" si="1"/>
        <v>Sun</v>
      </c>
      <c r="AM4" s="167" t="str">
        <f t="shared" si="1"/>
        <v>Mon</v>
      </c>
      <c r="AN4" s="167" t="str">
        <f t="shared" si="1"/>
        <v>Tue</v>
      </c>
      <c r="AO4" s="166" t="s">
        <v>258</v>
      </c>
      <c r="AP4" s="166" t="s">
        <v>258</v>
      </c>
      <c r="AQ4" s="166" t="s">
        <v>258</v>
      </c>
      <c r="AR4" s="166" t="s">
        <v>258</v>
      </c>
      <c r="AS4" s="166" t="s">
        <v>258</v>
      </c>
      <c r="AV4" s="166" t="s">
        <v>258</v>
      </c>
    </row>
    <row r="5" spans="2:49" ht="39" customHeight="1">
      <c r="B5" s="168" t="s">
        <v>6</v>
      </c>
      <c r="C5" s="169" t="s">
        <v>7</v>
      </c>
      <c r="D5" s="169" t="s">
        <v>225</v>
      </c>
      <c r="E5" s="169" t="s">
        <v>8</v>
      </c>
      <c r="F5" s="169" t="s">
        <v>1</v>
      </c>
      <c r="G5" s="170" t="s">
        <v>51</v>
      </c>
      <c r="H5" s="89" t="s">
        <v>50</v>
      </c>
      <c r="I5" s="92" t="s">
        <v>9</v>
      </c>
      <c r="J5" s="172">
        <f>Summary!R4</f>
        <v>46054</v>
      </c>
      <c r="K5" s="172">
        <f>J5+1</f>
        <v>46055</v>
      </c>
      <c r="L5" s="172">
        <f t="shared" ref="L5:AN5" si="2">K5+1</f>
        <v>46056</v>
      </c>
      <c r="M5" s="172">
        <f t="shared" si="2"/>
        <v>46057</v>
      </c>
      <c r="N5" s="172">
        <f t="shared" si="2"/>
        <v>46058</v>
      </c>
      <c r="O5" s="172">
        <f t="shared" si="2"/>
        <v>46059</v>
      </c>
      <c r="P5" s="172">
        <f t="shared" si="2"/>
        <v>46060</v>
      </c>
      <c r="Q5" s="172">
        <f t="shared" si="2"/>
        <v>46061</v>
      </c>
      <c r="R5" s="172">
        <f t="shared" si="2"/>
        <v>46062</v>
      </c>
      <c r="S5" s="172">
        <f t="shared" si="2"/>
        <v>46063</v>
      </c>
      <c r="T5" s="172">
        <f t="shared" si="2"/>
        <v>46064</v>
      </c>
      <c r="U5" s="172">
        <f t="shared" si="2"/>
        <v>46065</v>
      </c>
      <c r="V5" s="172">
        <f t="shared" si="2"/>
        <v>46066</v>
      </c>
      <c r="W5" s="172">
        <f t="shared" si="2"/>
        <v>46067</v>
      </c>
      <c r="X5" s="172">
        <f t="shared" si="2"/>
        <v>46068</v>
      </c>
      <c r="Y5" s="172">
        <f t="shared" si="2"/>
        <v>46069</v>
      </c>
      <c r="Z5" s="172">
        <f t="shared" si="2"/>
        <v>46070</v>
      </c>
      <c r="AA5" s="172">
        <f t="shared" si="2"/>
        <v>46071</v>
      </c>
      <c r="AB5" s="172">
        <f t="shared" si="2"/>
        <v>46072</v>
      </c>
      <c r="AC5" s="172">
        <f t="shared" si="2"/>
        <v>46073</v>
      </c>
      <c r="AD5" s="172">
        <f t="shared" si="2"/>
        <v>46074</v>
      </c>
      <c r="AE5" s="172">
        <f t="shared" si="2"/>
        <v>46075</v>
      </c>
      <c r="AF5" s="172">
        <f t="shared" si="2"/>
        <v>46076</v>
      </c>
      <c r="AG5" s="172">
        <f t="shared" si="2"/>
        <v>46077</v>
      </c>
      <c r="AH5" s="172">
        <f t="shared" si="2"/>
        <v>46078</v>
      </c>
      <c r="AI5" s="172">
        <f t="shared" si="2"/>
        <v>46079</v>
      </c>
      <c r="AJ5" s="172">
        <f t="shared" si="2"/>
        <v>46080</v>
      </c>
      <c r="AK5" s="172">
        <f t="shared" si="2"/>
        <v>46081</v>
      </c>
      <c r="AL5" s="172">
        <f t="shared" si="2"/>
        <v>46082</v>
      </c>
      <c r="AM5" s="172">
        <f t="shared" si="2"/>
        <v>46083</v>
      </c>
      <c r="AN5" s="172">
        <f t="shared" si="2"/>
        <v>46084</v>
      </c>
      <c r="AO5" s="93" t="s">
        <v>249</v>
      </c>
      <c r="AP5" s="93" t="s">
        <v>250</v>
      </c>
      <c r="AQ5" s="93" t="s">
        <v>251</v>
      </c>
      <c r="AR5" s="93" t="s">
        <v>227</v>
      </c>
      <c r="AS5" s="93" t="s">
        <v>226</v>
      </c>
      <c r="AT5" s="93" t="s">
        <v>175</v>
      </c>
      <c r="AU5" s="93" t="s">
        <v>176</v>
      </c>
      <c r="AV5" s="93" t="s">
        <v>267</v>
      </c>
      <c r="AW5" s="93" t="s">
        <v>270</v>
      </c>
    </row>
    <row r="6" spans="2:49">
      <c r="B6" s="278">
        <v>1</v>
      </c>
      <c r="C6" s="273" t="s">
        <v>13</v>
      </c>
      <c r="D6" s="273" t="s">
        <v>355</v>
      </c>
      <c r="E6" s="275" t="s">
        <v>10</v>
      </c>
      <c r="F6" s="271">
        <v>12</v>
      </c>
      <c r="G6" s="272">
        <v>10</v>
      </c>
      <c r="H6" s="272"/>
      <c r="I6" s="182">
        <f>G6+H6</f>
        <v>10</v>
      </c>
      <c r="J6" s="276"/>
      <c r="K6" s="276"/>
      <c r="L6" s="276"/>
      <c r="M6" s="276"/>
      <c r="N6" s="276"/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182">
        <f>SUM(J6:AN6)</f>
        <v>0</v>
      </c>
      <c r="AP6" s="182">
        <f>I6-AO6</f>
        <v>10</v>
      </c>
      <c r="AQ6" s="182">
        <f>AO6*F6</f>
        <v>0</v>
      </c>
      <c r="AR6" s="182">
        <f>AP6*F6</f>
        <v>120</v>
      </c>
      <c r="AS6" s="182">
        <f>H6*F6</f>
        <v>0</v>
      </c>
      <c r="AT6" s="174"/>
      <c r="AU6" s="174"/>
      <c r="AV6" s="182">
        <f>AS6*SUM(AT6:AU6)%+AS6</f>
        <v>0</v>
      </c>
      <c r="AW6" s="179"/>
    </row>
    <row r="7" spans="2:49" ht="17.25" customHeight="1">
      <c r="B7" s="278">
        <v>2</v>
      </c>
      <c r="C7" s="280" t="s">
        <v>461</v>
      </c>
      <c r="D7" s="273" t="s">
        <v>356</v>
      </c>
      <c r="E7" s="275" t="s">
        <v>10</v>
      </c>
      <c r="F7" s="271">
        <v>3.5</v>
      </c>
      <c r="G7" s="272">
        <v>25</v>
      </c>
      <c r="H7" s="272"/>
      <c r="I7" s="182">
        <f t="shared" ref="I7:I72" si="3">G7+H7</f>
        <v>25</v>
      </c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182">
        <f t="shared" ref="AO7:AO72" si="4">SUM(J7:AN7)</f>
        <v>0</v>
      </c>
      <c r="AP7" s="182">
        <f>I7-AO7</f>
        <v>25</v>
      </c>
      <c r="AQ7" s="182">
        <f t="shared" ref="AQ7:AQ72" si="5">AO7*F7</f>
        <v>0</v>
      </c>
      <c r="AR7" s="182">
        <f t="shared" ref="AR7:AR72" si="6">AP7*F7</f>
        <v>87.5</v>
      </c>
      <c r="AS7" s="182">
        <f t="shared" ref="AS7:AS72" si="7">H7*F7</f>
        <v>0</v>
      </c>
      <c r="AT7" s="174"/>
      <c r="AU7" s="174"/>
      <c r="AV7" s="182">
        <f t="shared" ref="AV7:AV72" si="8">AS7*SUM(AT7:AU7)%+AS7</f>
        <v>0</v>
      </c>
      <c r="AW7" s="179"/>
    </row>
    <row r="8" spans="2:49">
      <c r="B8" s="278">
        <v>3</v>
      </c>
      <c r="C8" s="273" t="s">
        <v>14</v>
      </c>
      <c r="D8" s="273" t="s">
        <v>355</v>
      </c>
      <c r="E8" s="275" t="s">
        <v>10</v>
      </c>
      <c r="F8" s="271">
        <v>62</v>
      </c>
      <c r="G8" s="272">
        <v>13</v>
      </c>
      <c r="H8" s="272"/>
      <c r="I8" s="182">
        <f t="shared" si="3"/>
        <v>13</v>
      </c>
      <c r="J8" s="276"/>
      <c r="K8" s="276"/>
      <c r="L8" s="276"/>
      <c r="M8" s="276">
        <v>2</v>
      </c>
      <c r="N8" s="276"/>
      <c r="O8" s="276"/>
      <c r="P8" s="276"/>
      <c r="Q8" s="276"/>
      <c r="R8" s="276"/>
      <c r="S8" s="276"/>
      <c r="T8" s="276"/>
      <c r="U8" s="276"/>
      <c r="V8" s="276">
        <v>2</v>
      </c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182">
        <f t="shared" si="4"/>
        <v>4</v>
      </c>
      <c r="AP8" s="182">
        <f t="shared" ref="AP8:AP72" si="9">I8-AO8</f>
        <v>9</v>
      </c>
      <c r="AQ8" s="182">
        <f t="shared" si="5"/>
        <v>248</v>
      </c>
      <c r="AR8" s="182">
        <f t="shared" si="6"/>
        <v>558</v>
      </c>
      <c r="AS8" s="182">
        <f t="shared" si="7"/>
        <v>0</v>
      </c>
      <c r="AT8" s="174"/>
      <c r="AU8" s="174"/>
      <c r="AV8" s="182">
        <f t="shared" si="8"/>
        <v>0</v>
      </c>
      <c r="AW8" s="179"/>
    </row>
    <row r="9" spans="2:49" s="149" customFormat="1">
      <c r="B9" s="278">
        <v>4</v>
      </c>
      <c r="C9" s="273" t="s">
        <v>15</v>
      </c>
      <c r="D9" s="273" t="s">
        <v>357</v>
      </c>
      <c r="E9" s="275" t="s">
        <v>10</v>
      </c>
      <c r="F9" s="271">
        <v>20</v>
      </c>
      <c r="G9" s="272">
        <v>11</v>
      </c>
      <c r="H9" s="272">
        <v>10</v>
      </c>
      <c r="I9" s="182">
        <f t="shared" si="3"/>
        <v>21</v>
      </c>
      <c r="J9" s="276"/>
      <c r="K9" s="276">
        <v>1</v>
      </c>
      <c r="L9" s="276"/>
      <c r="M9" s="276"/>
      <c r="N9" s="276"/>
      <c r="O9" s="276"/>
      <c r="P9" s="276"/>
      <c r="Q9" s="276"/>
      <c r="R9" s="276">
        <v>3</v>
      </c>
      <c r="S9" s="276"/>
      <c r="T9" s="276"/>
      <c r="U9" s="276"/>
      <c r="V9" s="276">
        <v>1</v>
      </c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182">
        <f t="shared" si="4"/>
        <v>5</v>
      </c>
      <c r="AP9" s="182">
        <f t="shared" si="9"/>
        <v>16</v>
      </c>
      <c r="AQ9" s="182">
        <f t="shared" si="5"/>
        <v>100</v>
      </c>
      <c r="AR9" s="182">
        <f t="shared" si="6"/>
        <v>320</v>
      </c>
      <c r="AS9" s="182">
        <f t="shared" si="7"/>
        <v>200</v>
      </c>
      <c r="AT9" s="174"/>
      <c r="AU9" s="174"/>
      <c r="AV9" s="182">
        <f t="shared" si="8"/>
        <v>200</v>
      </c>
      <c r="AW9" s="179"/>
    </row>
    <row r="10" spans="2:49" s="149" customFormat="1">
      <c r="B10" s="278">
        <v>5</v>
      </c>
      <c r="C10" s="273" t="s">
        <v>16</v>
      </c>
      <c r="D10" s="273" t="s">
        <v>357</v>
      </c>
      <c r="E10" s="275" t="s">
        <v>10</v>
      </c>
      <c r="F10" s="271">
        <v>6.5</v>
      </c>
      <c r="G10" s="272">
        <v>16</v>
      </c>
      <c r="H10" s="272"/>
      <c r="I10" s="182">
        <f t="shared" si="3"/>
        <v>16</v>
      </c>
      <c r="J10" s="276"/>
      <c r="K10" s="276"/>
      <c r="L10" s="276"/>
      <c r="M10" s="276"/>
      <c r="N10" s="276"/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182">
        <f t="shared" si="4"/>
        <v>0</v>
      </c>
      <c r="AP10" s="182">
        <f t="shared" si="9"/>
        <v>16</v>
      </c>
      <c r="AQ10" s="182">
        <f t="shared" si="5"/>
        <v>0</v>
      </c>
      <c r="AR10" s="182">
        <f t="shared" si="6"/>
        <v>104</v>
      </c>
      <c r="AS10" s="182">
        <f t="shared" si="7"/>
        <v>0</v>
      </c>
      <c r="AT10" s="174"/>
      <c r="AU10" s="174"/>
      <c r="AV10" s="182">
        <f t="shared" si="8"/>
        <v>0</v>
      </c>
      <c r="AW10" s="179"/>
    </row>
    <row r="11" spans="2:49" s="149" customFormat="1">
      <c r="B11" s="278">
        <v>6</v>
      </c>
      <c r="C11" s="273" t="s">
        <v>302</v>
      </c>
      <c r="D11" s="273" t="s">
        <v>356</v>
      </c>
      <c r="E11" s="275" t="s">
        <v>10</v>
      </c>
      <c r="F11" s="271">
        <v>1.25</v>
      </c>
      <c r="G11" s="272">
        <v>16</v>
      </c>
      <c r="H11" s="272"/>
      <c r="I11" s="182">
        <f t="shared" si="3"/>
        <v>16</v>
      </c>
      <c r="J11" s="276"/>
      <c r="K11" s="276"/>
      <c r="L11" s="276"/>
      <c r="M11" s="276"/>
      <c r="N11" s="276"/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182">
        <f t="shared" si="4"/>
        <v>0</v>
      </c>
      <c r="AP11" s="182">
        <f t="shared" si="9"/>
        <v>16</v>
      </c>
      <c r="AQ11" s="182">
        <f t="shared" si="5"/>
        <v>0</v>
      </c>
      <c r="AR11" s="182">
        <f t="shared" si="6"/>
        <v>20</v>
      </c>
      <c r="AS11" s="182">
        <f t="shared" si="7"/>
        <v>0</v>
      </c>
      <c r="AT11" s="174"/>
      <c r="AU11" s="174"/>
      <c r="AV11" s="182">
        <f t="shared" si="8"/>
        <v>0</v>
      </c>
      <c r="AW11" s="179"/>
    </row>
    <row r="12" spans="2:49" s="149" customFormat="1">
      <c r="B12" s="278">
        <v>7</v>
      </c>
      <c r="C12" s="273" t="s">
        <v>17</v>
      </c>
      <c r="D12" s="273" t="s">
        <v>358</v>
      </c>
      <c r="E12" s="275" t="s">
        <v>10</v>
      </c>
      <c r="F12" s="271">
        <v>12</v>
      </c>
      <c r="G12" s="272">
        <v>8</v>
      </c>
      <c r="H12" s="272">
        <v>5</v>
      </c>
      <c r="I12" s="182">
        <f t="shared" si="3"/>
        <v>13</v>
      </c>
      <c r="J12" s="276"/>
      <c r="K12" s="276"/>
      <c r="L12" s="276"/>
      <c r="M12" s="276"/>
      <c r="N12" s="276"/>
      <c r="O12" s="276"/>
      <c r="P12" s="276"/>
      <c r="Q12" s="276"/>
      <c r="R12" s="276"/>
      <c r="S12" s="276">
        <v>1</v>
      </c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182">
        <f t="shared" si="4"/>
        <v>1</v>
      </c>
      <c r="AP12" s="182">
        <f t="shared" si="9"/>
        <v>12</v>
      </c>
      <c r="AQ12" s="182">
        <f t="shared" si="5"/>
        <v>12</v>
      </c>
      <c r="AR12" s="182">
        <f t="shared" si="6"/>
        <v>144</v>
      </c>
      <c r="AS12" s="182">
        <f t="shared" si="7"/>
        <v>60</v>
      </c>
      <c r="AT12" s="174"/>
      <c r="AU12" s="174"/>
      <c r="AV12" s="182">
        <f t="shared" si="8"/>
        <v>60</v>
      </c>
      <c r="AW12" s="179"/>
    </row>
    <row r="13" spans="2:49" s="149" customFormat="1">
      <c r="B13" s="278">
        <v>8</v>
      </c>
      <c r="C13" s="273" t="s">
        <v>18</v>
      </c>
      <c r="D13" s="273" t="s">
        <v>358</v>
      </c>
      <c r="E13" s="275" t="s">
        <v>10</v>
      </c>
      <c r="F13" s="271">
        <v>24</v>
      </c>
      <c r="G13" s="272">
        <v>4</v>
      </c>
      <c r="H13" s="272">
        <v>5</v>
      </c>
      <c r="I13" s="182">
        <f t="shared" si="3"/>
        <v>9</v>
      </c>
      <c r="J13" s="276"/>
      <c r="K13" s="276">
        <v>2</v>
      </c>
      <c r="L13" s="276"/>
      <c r="M13" s="276"/>
      <c r="N13" s="276"/>
      <c r="O13" s="276"/>
      <c r="P13" s="276"/>
      <c r="Q13" s="276"/>
      <c r="R13" s="276"/>
      <c r="S13" s="276">
        <v>1</v>
      </c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182">
        <f t="shared" si="4"/>
        <v>3</v>
      </c>
      <c r="AP13" s="182">
        <f t="shared" si="9"/>
        <v>6</v>
      </c>
      <c r="AQ13" s="182">
        <f t="shared" si="5"/>
        <v>72</v>
      </c>
      <c r="AR13" s="182">
        <f t="shared" si="6"/>
        <v>144</v>
      </c>
      <c r="AS13" s="182">
        <f t="shared" si="7"/>
        <v>120</v>
      </c>
      <c r="AT13" s="174"/>
      <c r="AU13" s="174"/>
      <c r="AV13" s="182">
        <f t="shared" si="8"/>
        <v>120</v>
      </c>
      <c r="AW13" s="179"/>
    </row>
    <row r="14" spans="2:49" s="149" customFormat="1">
      <c r="B14" s="278">
        <v>9</v>
      </c>
      <c r="C14" s="280" t="s">
        <v>446</v>
      </c>
      <c r="D14" s="273"/>
      <c r="E14" s="275" t="s">
        <v>10</v>
      </c>
      <c r="F14" s="271"/>
      <c r="G14" s="272">
        <v>1</v>
      </c>
      <c r="H14" s="272"/>
      <c r="I14" s="182">
        <f t="shared" si="3"/>
        <v>1</v>
      </c>
      <c r="J14" s="276"/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182">
        <f t="shared" si="4"/>
        <v>0</v>
      </c>
      <c r="AP14" s="182">
        <f t="shared" si="9"/>
        <v>1</v>
      </c>
      <c r="AQ14" s="182">
        <f t="shared" si="5"/>
        <v>0</v>
      </c>
      <c r="AR14" s="182">
        <f t="shared" si="6"/>
        <v>0</v>
      </c>
      <c r="AS14" s="182">
        <f t="shared" si="7"/>
        <v>0</v>
      </c>
      <c r="AT14" s="174"/>
      <c r="AU14" s="174"/>
      <c r="AV14" s="182"/>
      <c r="AW14" s="179"/>
    </row>
    <row r="15" spans="2:49" s="149" customFormat="1">
      <c r="B15" s="278">
        <v>10</v>
      </c>
      <c r="C15" s="273" t="s">
        <v>19</v>
      </c>
      <c r="D15" s="273" t="s">
        <v>359</v>
      </c>
      <c r="E15" s="275" t="s">
        <v>10</v>
      </c>
      <c r="F15" s="271">
        <v>2.9</v>
      </c>
      <c r="G15" s="272">
        <v>33</v>
      </c>
      <c r="H15" s="272">
        <v>20</v>
      </c>
      <c r="I15" s="182">
        <f t="shared" si="3"/>
        <v>53</v>
      </c>
      <c r="J15" s="276"/>
      <c r="K15" s="276">
        <v>5</v>
      </c>
      <c r="L15" s="276"/>
      <c r="M15" s="276">
        <v>3</v>
      </c>
      <c r="N15" s="276"/>
      <c r="O15" s="276"/>
      <c r="P15" s="276"/>
      <c r="Q15" s="276"/>
      <c r="R15" s="276">
        <v>3</v>
      </c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182">
        <f t="shared" si="4"/>
        <v>11</v>
      </c>
      <c r="AP15" s="182">
        <f t="shared" si="9"/>
        <v>42</v>
      </c>
      <c r="AQ15" s="182">
        <f t="shared" si="5"/>
        <v>31.9</v>
      </c>
      <c r="AR15" s="182">
        <f t="shared" si="6"/>
        <v>121.8</v>
      </c>
      <c r="AS15" s="182">
        <f t="shared" si="7"/>
        <v>58</v>
      </c>
      <c r="AT15" s="174"/>
      <c r="AU15" s="174"/>
      <c r="AV15" s="182">
        <f t="shared" si="8"/>
        <v>58</v>
      </c>
      <c r="AW15" s="179"/>
    </row>
    <row r="16" spans="2:49" s="149" customFormat="1">
      <c r="B16" s="278">
        <v>11</v>
      </c>
      <c r="C16" s="273" t="s">
        <v>303</v>
      </c>
      <c r="D16" s="273" t="s">
        <v>358</v>
      </c>
      <c r="E16" s="275" t="s">
        <v>10</v>
      </c>
      <c r="F16" s="271">
        <v>35</v>
      </c>
      <c r="G16" s="272">
        <v>3</v>
      </c>
      <c r="H16" s="272"/>
      <c r="I16" s="182">
        <f t="shared" si="3"/>
        <v>3</v>
      </c>
      <c r="J16" s="276"/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182">
        <f t="shared" si="4"/>
        <v>0</v>
      </c>
      <c r="AP16" s="182">
        <f t="shared" si="9"/>
        <v>3</v>
      </c>
      <c r="AQ16" s="182">
        <f t="shared" si="5"/>
        <v>0</v>
      </c>
      <c r="AR16" s="182">
        <f t="shared" si="6"/>
        <v>105</v>
      </c>
      <c r="AS16" s="182">
        <f t="shared" si="7"/>
        <v>0</v>
      </c>
      <c r="AT16" s="174"/>
      <c r="AU16" s="174"/>
      <c r="AV16" s="182">
        <f t="shared" si="8"/>
        <v>0</v>
      </c>
      <c r="AW16" s="179"/>
    </row>
    <row r="17" spans="2:49" s="149" customFormat="1">
      <c r="B17" s="278">
        <v>12</v>
      </c>
      <c r="C17" s="273" t="s">
        <v>304</v>
      </c>
      <c r="D17" s="273" t="s">
        <v>360</v>
      </c>
      <c r="E17" s="275" t="s">
        <v>12</v>
      </c>
      <c r="F17" s="271">
        <v>80</v>
      </c>
      <c r="G17" s="272">
        <v>0</v>
      </c>
      <c r="H17" s="272"/>
      <c r="I17" s="182">
        <f t="shared" si="3"/>
        <v>0</v>
      </c>
      <c r="J17" s="276"/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182">
        <f t="shared" si="4"/>
        <v>0</v>
      </c>
      <c r="AP17" s="182">
        <f t="shared" si="9"/>
        <v>0</v>
      </c>
      <c r="AQ17" s="182">
        <f t="shared" si="5"/>
        <v>0</v>
      </c>
      <c r="AR17" s="182">
        <f t="shared" si="6"/>
        <v>0</v>
      </c>
      <c r="AS17" s="182">
        <f t="shared" si="7"/>
        <v>0</v>
      </c>
      <c r="AT17" s="174"/>
      <c r="AU17" s="174"/>
      <c r="AV17" s="182">
        <f t="shared" si="8"/>
        <v>0</v>
      </c>
      <c r="AW17" s="179"/>
    </row>
    <row r="18" spans="2:49" s="149" customFormat="1">
      <c r="B18" s="278">
        <v>13</v>
      </c>
      <c r="C18" s="273" t="s">
        <v>20</v>
      </c>
      <c r="D18" s="273" t="s">
        <v>361</v>
      </c>
      <c r="E18" s="270" t="s">
        <v>10</v>
      </c>
      <c r="F18" s="271">
        <v>21</v>
      </c>
      <c r="G18" s="272">
        <v>19</v>
      </c>
      <c r="H18" s="272"/>
      <c r="I18" s="182">
        <f t="shared" si="3"/>
        <v>19</v>
      </c>
      <c r="J18" s="276"/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182">
        <f t="shared" si="4"/>
        <v>0</v>
      </c>
      <c r="AP18" s="182">
        <f t="shared" si="9"/>
        <v>19</v>
      </c>
      <c r="AQ18" s="182">
        <f t="shared" si="5"/>
        <v>0</v>
      </c>
      <c r="AR18" s="182">
        <f t="shared" si="6"/>
        <v>399</v>
      </c>
      <c r="AS18" s="182">
        <f t="shared" si="7"/>
        <v>0</v>
      </c>
      <c r="AT18" s="174"/>
      <c r="AU18" s="174"/>
      <c r="AV18" s="182">
        <f t="shared" si="8"/>
        <v>0</v>
      </c>
      <c r="AW18" s="179"/>
    </row>
    <row r="19" spans="2:49" s="149" customFormat="1">
      <c r="B19" s="278">
        <v>14</v>
      </c>
      <c r="C19" s="273" t="s">
        <v>21</v>
      </c>
      <c r="D19" s="273" t="s">
        <v>361</v>
      </c>
      <c r="E19" s="275" t="s">
        <v>10</v>
      </c>
      <c r="F19" s="271">
        <v>21</v>
      </c>
      <c r="G19" s="272">
        <v>20</v>
      </c>
      <c r="H19" s="272"/>
      <c r="I19" s="182">
        <f t="shared" si="3"/>
        <v>20</v>
      </c>
      <c r="J19" s="276"/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/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182">
        <f t="shared" si="4"/>
        <v>0</v>
      </c>
      <c r="AP19" s="182">
        <f t="shared" si="9"/>
        <v>20</v>
      </c>
      <c r="AQ19" s="182">
        <f t="shared" si="5"/>
        <v>0</v>
      </c>
      <c r="AR19" s="182">
        <f t="shared" si="6"/>
        <v>420</v>
      </c>
      <c r="AS19" s="182">
        <f t="shared" si="7"/>
        <v>0</v>
      </c>
      <c r="AT19" s="174"/>
      <c r="AU19" s="174"/>
      <c r="AV19" s="182">
        <f t="shared" si="8"/>
        <v>0</v>
      </c>
      <c r="AW19" s="179"/>
    </row>
    <row r="20" spans="2:49" s="149" customFormat="1">
      <c r="B20" s="278">
        <v>15</v>
      </c>
      <c r="C20" s="280" t="s">
        <v>459</v>
      </c>
      <c r="D20" s="273" t="s">
        <v>361</v>
      </c>
      <c r="E20" s="275" t="s">
        <v>10</v>
      </c>
      <c r="F20" s="271">
        <v>21</v>
      </c>
      <c r="G20" s="272">
        <v>10</v>
      </c>
      <c r="H20" s="272"/>
      <c r="I20" s="182">
        <f t="shared" ref="I20" si="10">G20+H20</f>
        <v>10</v>
      </c>
      <c r="J20" s="276"/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182">
        <f t="shared" ref="AO20" si="11">SUM(J20:AN20)</f>
        <v>0</v>
      </c>
      <c r="AP20" s="182">
        <f t="shared" ref="AP20" si="12">I20-AO20</f>
        <v>10</v>
      </c>
      <c r="AQ20" s="182">
        <f t="shared" ref="AQ20" si="13">AO20*F20</f>
        <v>0</v>
      </c>
      <c r="AR20" s="182">
        <f t="shared" ref="AR20" si="14">AP20*F20</f>
        <v>210</v>
      </c>
      <c r="AS20" s="182">
        <f t="shared" ref="AS20" si="15">H20*F20</f>
        <v>0</v>
      </c>
      <c r="AT20" s="174"/>
      <c r="AU20" s="174"/>
      <c r="AV20" s="182">
        <f t="shared" ref="AV20" si="16">AS20*SUM(AT20:AU20)%+AS20</f>
        <v>0</v>
      </c>
      <c r="AW20" s="179"/>
    </row>
    <row r="21" spans="2:49" s="149" customFormat="1">
      <c r="B21" s="278">
        <v>16</v>
      </c>
      <c r="C21" s="273" t="s">
        <v>305</v>
      </c>
      <c r="D21" s="273" t="s">
        <v>361</v>
      </c>
      <c r="E21" s="275" t="s">
        <v>10</v>
      </c>
      <c r="F21" s="271">
        <v>60</v>
      </c>
      <c r="G21" s="272">
        <v>0</v>
      </c>
      <c r="H21" s="272"/>
      <c r="I21" s="182">
        <f t="shared" si="3"/>
        <v>0</v>
      </c>
      <c r="J21" s="276"/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182">
        <f t="shared" si="4"/>
        <v>0</v>
      </c>
      <c r="AP21" s="182">
        <f t="shared" si="9"/>
        <v>0</v>
      </c>
      <c r="AQ21" s="182">
        <f t="shared" si="5"/>
        <v>0</v>
      </c>
      <c r="AR21" s="182">
        <f t="shared" si="6"/>
        <v>0</v>
      </c>
      <c r="AS21" s="182">
        <f t="shared" si="7"/>
        <v>0</v>
      </c>
      <c r="AT21" s="174"/>
      <c r="AU21" s="174"/>
      <c r="AV21" s="182">
        <f t="shared" si="8"/>
        <v>0</v>
      </c>
      <c r="AW21" s="179"/>
    </row>
    <row r="22" spans="2:49" s="149" customFormat="1">
      <c r="B22" s="278">
        <v>17</v>
      </c>
      <c r="C22" s="273" t="s">
        <v>306</v>
      </c>
      <c r="D22" s="273" t="s">
        <v>361</v>
      </c>
      <c r="E22" s="275" t="s">
        <v>10</v>
      </c>
      <c r="F22" s="271">
        <v>17.5</v>
      </c>
      <c r="G22" s="272">
        <v>6</v>
      </c>
      <c r="H22" s="272"/>
      <c r="I22" s="182">
        <f t="shared" si="3"/>
        <v>6</v>
      </c>
      <c r="J22" s="276"/>
      <c r="K22" s="276">
        <v>1</v>
      </c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182">
        <f t="shared" si="4"/>
        <v>1</v>
      </c>
      <c r="AP22" s="182">
        <f t="shared" si="9"/>
        <v>5</v>
      </c>
      <c r="AQ22" s="182">
        <f t="shared" si="5"/>
        <v>17.5</v>
      </c>
      <c r="AR22" s="182">
        <f t="shared" si="6"/>
        <v>87.5</v>
      </c>
      <c r="AS22" s="182">
        <f t="shared" si="7"/>
        <v>0</v>
      </c>
      <c r="AT22" s="174"/>
      <c r="AU22" s="174"/>
      <c r="AV22" s="182">
        <f t="shared" si="8"/>
        <v>0</v>
      </c>
      <c r="AW22" s="179"/>
    </row>
    <row r="23" spans="2:49" s="149" customFormat="1">
      <c r="B23" s="278">
        <v>18</v>
      </c>
      <c r="C23" s="273" t="s">
        <v>22</v>
      </c>
      <c r="D23" s="273" t="s">
        <v>362</v>
      </c>
      <c r="E23" s="275" t="s">
        <v>10</v>
      </c>
      <c r="F23" s="271">
        <v>38</v>
      </c>
      <c r="G23" s="272">
        <v>4</v>
      </c>
      <c r="H23" s="272"/>
      <c r="I23" s="182">
        <f t="shared" si="3"/>
        <v>4</v>
      </c>
      <c r="J23" s="276"/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182">
        <f t="shared" si="4"/>
        <v>0</v>
      </c>
      <c r="AP23" s="182">
        <f t="shared" si="9"/>
        <v>4</v>
      </c>
      <c r="AQ23" s="182">
        <f t="shared" si="5"/>
        <v>0</v>
      </c>
      <c r="AR23" s="182">
        <f t="shared" si="6"/>
        <v>152</v>
      </c>
      <c r="AS23" s="182">
        <f t="shared" si="7"/>
        <v>0</v>
      </c>
      <c r="AT23" s="174"/>
      <c r="AU23" s="174"/>
      <c r="AV23" s="182">
        <f t="shared" si="8"/>
        <v>0</v>
      </c>
      <c r="AW23" s="179"/>
    </row>
    <row r="24" spans="2:49" s="149" customFormat="1">
      <c r="B24" s="278">
        <v>19</v>
      </c>
      <c r="C24" s="273" t="s">
        <v>307</v>
      </c>
      <c r="D24" s="273" t="s">
        <v>362</v>
      </c>
      <c r="E24" s="275" t="s">
        <v>11</v>
      </c>
      <c r="F24" s="271">
        <v>120</v>
      </c>
      <c r="G24" s="272">
        <v>26</v>
      </c>
      <c r="H24" s="272"/>
      <c r="I24" s="182">
        <f t="shared" si="3"/>
        <v>26</v>
      </c>
      <c r="J24" s="276"/>
      <c r="K24" s="276"/>
      <c r="L24" s="276"/>
      <c r="M24" s="276"/>
      <c r="N24" s="276"/>
      <c r="O24" s="276"/>
      <c r="P24" s="276"/>
      <c r="Q24" s="276"/>
      <c r="R24" s="276"/>
      <c r="S24" s="276"/>
      <c r="T24" s="276"/>
      <c r="U24" s="276"/>
      <c r="V24" s="276"/>
      <c r="W24" s="276"/>
      <c r="X24" s="276"/>
      <c r="Y24" s="276"/>
      <c r="Z24" s="276"/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182">
        <f t="shared" si="4"/>
        <v>0</v>
      </c>
      <c r="AP24" s="182">
        <f t="shared" si="9"/>
        <v>26</v>
      </c>
      <c r="AQ24" s="182">
        <f t="shared" si="5"/>
        <v>0</v>
      </c>
      <c r="AR24" s="182">
        <f t="shared" si="6"/>
        <v>3120</v>
      </c>
      <c r="AS24" s="182">
        <f t="shared" si="7"/>
        <v>0</v>
      </c>
      <c r="AT24" s="174"/>
      <c r="AU24" s="174"/>
      <c r="AV24" s="182">
        <f t="shared" si="8"/>
        <v>0</v>
      </c>
      <c r="AW24" s="179"/>
    </row>
    <row r="25" spans="2:49" s="149" customFormat="1">
      <c r="B25" s="278">
        <v>20</v>
      </c>
      <c r="C25" s="273" t="s">
        <v>308</v>
      </c>
      <c r="D25" s="273" t="s">
        <v>361</v>
      </c>
      <c r="E25" s="275" t="s">
        <v>10</v>
      </c>
      <c r="F25" s="271">
        <v>18</v>
      </c>
      <c r="G25" s="272">
        <v>3</v>
      </c>
      <c r="H25" s="272"/>
      <c r="I25" s="182">
        <f t="shared" si="3"/>
        <v>3</v>
      </c>
      <c r="J25" s="276"/>
      <c r="K25" s="276"/>
      <c r="L25" s="276"/>
      <c r="M25" s="276"/>
      <c r="N25" s="276"/>
      <c r="O25" s="276"/>
      <c r="P25" s="276"/>
      <c r="Q25" s="276"/>
      <c r="R25" s="276"/>
      <c r="S25" s="276"/>
      <c r="T25" s="276"/>
      <c r="U25" s="276"/>
      <c r="V25" s="276"/>
      <c r="W25" s="276"/>
      <c r="X25" s="276"/>
      <c r="Y25" s="276"/>
      <c r="Z25" s="276"/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182">
        <f t="shared" si="4"/>
        <v>0</v>
      </c>
      <c r="AP25" s="182">
        <f t="shared" si="9"/>
        <v>3</v>
      </c>
      <c r="AQ25" s="182">
        <f t="shared" si="5"/>
        <v>0</v>
      </c>
      <c r="AR25" s="182">
        <f t="shared" si="6"/>
        <v>54</v>
      </c>
      <c r="AS25" s="182">
        <f t="shared" si="7"/>
        <v>0</v>
      </c>
      <c r="AT25" s="174"/>
      <c r="AU25" s="174"/>
      <c r="AV25" s="182">
        <f t="shared" si="8"/>
        <v>0</v>
      </c>
      <c r="AW25" s="179"/>
    </row>
    <row r="26" spans="2:49" s="149" customFormat="1">
      <c r="B26" s="278">
        <v>21</v>
      </c>
      <c r="C26" s="273" t="s">
        <v>23</v>
      </c>
      <c r="D26" s="273" t="s">
        <v>363</v>
      </c>
      <c r="E26" s="275" t="s">
        <v>10</v>
      </c>
      <c r="F26" s="271">
        <v>45</v>
      </c>
      <c r="G26" s="272">
        <v>10</v>
      </c>
      <c r="H26" s="272"/>
      <c r="I26" s="182">
        <f t="shared" si="3"/>
        <v>10</v>
      </c>
      <c r="J26" s="276"/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182">
        <f t="shared" si="4"/>
        <v>0</v>
      </c>
      <c r="AP26" s="182">
        <f t="shared" si="9"/>
        <v>10</v>
      </c>
      <c r="AQ26" s="182">
        <f t="shared" si="5"/>
        <v>0</v>
      </c>
      <c r="AR26" s="182">
        <f t="shared" si="6"/>
        <v>450</v>
      </c>
      <c r="AS26" s="182">
        <f t="shared" si="7"/>
        <v>0</v>
      </c>
      <c r="AT26" s="174"/>
      <c r="AU26" s="174"/>
      <c r="AV26" s="182">
        <f t="shared" si="8"/>
        <v>0</v>
      </c>
      <c r="AW26" s="179"/>
    </row>
    <row r="27" spans="2:49" s="149" customFormat="1">
      <c r="B27" s="278">
        <v>22</v>
      </c>
      <c r="C27" s="273" t="s">
        <v>309</v>
      </c>
      <c r="D27" s="273" t="s">
        <v>364</v>
      </c>
      <c r="E27" s="275" t="s">
        <v>11</v>
      </c>
      <c r="F27" s="271">
        <v>10</v>
      </c>
      <c r="G27" s="272">
        <v>6</v>
      </c>
      <c r="H27" s="272"/>
      <c r="I27" s="182">
        <f t="shared" si="3"/>
        <v>6</v>
      </c>
      <c r="J27" s="276"/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182">
        <f t="shared" si="4"/>
        <v>0</v>
      </c>
      <c r="AP27" s="182">
        <f t="shared" si="9"/>
        <v>6</v>
      </c>
      <c r="AQ27" s="182">
        <f t="shared" si="5"/>
        <v>0</v>
      </c>
      <c r="AR27" s="182">
        <f t="shared" si="6"/>
        <v>60</v>
      </c>
      <c r="AS27" s="182">
        <f t="shared" si="7"/>
        <v>0</v>
      </c>
      <c r="AT27" s="174"/>
      <c r="AU27" s="174"/>
      <c r="AV27" s="182">
        <f t="shared" si="8"/>
        <v>0</v>
      </c>
      <c r="AW27" s="179"/>
    </row>
    <row r="28" spans="2:49" s="149" customFormat="1">
      <c r="B28" s="278">
        <v>23</v>
      </c>
      <c r="C28" s="273" t="s">
        <v>24</v>
      </c>
      <c r="D28" s="273" t="s">
        <v>364</v>
      </c>
      <c r="E28" s="275" t="s">
        <v>11</v>
      </c>
      <c r="F28" s="271">
        <v>9</v>
      </c>
      <c r="G28" s="272">
        <v>0</v>
      </c>
      <c r="H28" s="272"/>
      <c r="I28" s="182">
        <f t="shared" si="3"/>
        <v>0</v>
      </c>
      <c r="J28" s="276"/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182">
        <f t="shared" si="4"/>
        <v>0</v>
      </c>
      <c r="AP28" s="182">
        <f t="shared" si="9"/>
        <v>0</v>
      </c>
      <c r="AQ28" s="182">
        <f t="shared" si="5"/>
        <v>0</v>
      </c>
      <c r="AR28" s="182">
        <f t="shared" si="6"/>
        <v>0</v>
      </c>
      <c r="AS28" s="182">
        <f t="shared" si="7"/>
        <v>0</v>
      </c>
      <c r="AT28" s="174"/>
      <c r="AU28" s="174"/>
      <c r="AV28" s="182">
        <f t="shared" si="8"/>
        <v>0</v>
      </c>
      <c r="AW28" s="179"/>
    </row>
    <row r="29" spans="2:49" s="149" customFormat="1">
      <c r="B29" s="278">
        <v>24</v>
      </c>
      <c r="C29" s="273" t="s">
        <v>25</v>
      </c>
      <c r="D29" s="273" t="s">
        <v>359</v>
      </c>
      <c r="E29" s="275" t="s">
        <v>10</v>
      </c>
      <c r="F29" s="271">
        <v>2.8</v>
      </c>
      <c r="G29" s="272">
        <v>2</v>
      </c>
      <c r="H29" s="272"/>
      <c r="I29" s="182">
        <f t="shared" si="3"/>
        <v>2</v>
      </c>
      <c r="J29" s="276"/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182">
        <f t="shared" si="4"/>
        <v>0</v>
      </c>
      <c r="AP29" s="182">
        <f t="shared" si="9"/>
        <v>2</v>
      </c>
      <c r="AQ29" s="182">
        <f t="shared" si="5"/>
        <v>0</v>
      </c>
      <c r="AR29" s="182">
        <f t="shared" si="6"/>
        <v>5.6</v>
      </c>
      <c r="AS29" s="182">
        <f t="shared" si="7"/>
        <v>0</v>
      </c>
      <c r="AT29" s="174"/>
      <c r="AU29" s="174"/>
      <c r="AV29" s="182">
        <f t="shared" si="8"/>
        <v>0</v>
      </c>
      <c r="AW29" s="179"/>
    </row>
    <row r="30" spans="2:49" s="149" customFormat="1">
      <c r="B30" s="278">
        <v>25</v>
      </c>
      <c r="C30" s="273" t="s">
        <v>26</v>
      </c>
      <c r="D30" s="273" t="s">
        <v>359</v>
      </c>
      <c r="E30" s="275" t="s">
        <v>10</v>
      </c>
      <c r="F30" s="271">
        <v>2.8</v>
      </c>
      <c r="G30" s="272">
        <v>6</v>
      </c>
      <c r="H30" s="272"/>
      <c r="I30" s="182">
        <f t="shared" si="3"/>
        <v>6</v>
      </c>
      <c r="J30" s="276"/>
      <c r="K30" s="276">
        <v>2</v>
      </c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182">
        <f t="shared" si="4"/>
        <v>2</v>
      </c>
      <c r="AP30" s="182">
        <f t="shared" si="9"/>
        <v>4</v>
      </c>
      <c r="AQ30" s="182">
        <f t="shared" si="5"/>
        <v>5.6</v>
      </c>
      <c r="AR30" s="182">
        <f t="shared" si="6"/>
        <v>11.2</v>
      </c>
      <c r="AS30" s="182">
        <f t="shared" si="7"/>
        <v>0</v>
      </c>
      <c r="AT30" s="174"/>
      <c r="AU30" s="174"/>
      <c r="AV30" s="182">
        <f t="shared" si="8"/>
        <v>0</v>
      </c>
      <c r="AW30" s="179"/>
    </row>
    <row r="31" spans="2:49" s="149" customFormat="1">
      <c r="B31" s="278">
        <v>26</v>
      </c>
      <c r="C31" s="273" t="s">
        <v>27</v>
      </c>
      <c r="D31" s="273" t="s">
        <v>365</v>
      </c>
      <c r="E31" s="275" t="s">
        <v>12</v>
      </c>
      <c r="F31" s="271">
        <v>22</v>
      </c>
      <c r="G31" s="272">
        <v>1</v>
      </c>
      <c r="H31" s="272"/>
      <c r="I31" s="182">
        <f t="shared" si="3"/>
        <v>1</v>
      </c>
      <c r="J31" s="276"/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182">
        <f t="shared" si="4"/>
        <v>0</v>
      </c>
      <c r="AP31" s="182">
        <f t="shared" si="9"/>
        <v>1</v>
      </c>
      <c r="AQ31" s="182">
        <f t="shared" si="5"/>
        <v>0</v>
      </c>
      <c r="AR31" s="182">
        <f t="shared" si="6"/>
        <v>22</v>
      </c>
      <c r="AS31" s="182">
        <f t="shared" si="7"/>
        <v>0</v>
      </c>
      <c r="AT31" s="174"/>
      <c r="AU31" s="174"/>
      <c r="AV31" s="182">
        <f t="shared" si="8"/>
        <v>0</v>
      </c>
      <c r="AW31" s="179"/>
    </row>
    <row r="32" spans="2:49" s="149" customFormat="1">
      <c r="B32" s="278">
        <v>27</v>
      </c>
      <c r="C32" s="280" t="s">
        <v>433</v>
      </c>
      <c r="D32" s="273" t="s">
        <v>366</v>
      </c>
      <c r="E32" s="275" t="s">
        <v>10</v>
      </c>
      <c r="F32" s="271">
        <v>28</v>
      </c>
      <c r="G32" s="272">
        <v>10</v>
      </c>
      <c r="H32" s="272"/>
      <c r="I32" s="182">
        <f t="shared" si="3"/>
        <v>10</v>
      </c>
      <c r="J32" s="276"/>
      <c r="K32" s="276"/>
      <c r="L32" s="276"/>
      <c r="M32" s="276">
        <v>1</v>
      </c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276"/>
      <c r="AI32" s="276"/>
      <c r="AJ32" s="276"/>
      <c r="AK32" s="276"/>
      <c r="AL32" s="276"/>
      <c r="AM32" s="276"/>
      <c r="AN32" s="276"/>
      <c r="AO32" s="182">
        <f t="shared" si="4"/>
        <v>1</v>
      </c>
      <c r="AP32" s="182">
        <f t="shared" si="9"/>
        <v>9</v>
      </c>
      <c r="AQ32" s="182">
        <f t="shared" si="5"/>
        <v>28</v>
      </c>
      <c r="AR32" s="182">
        <f t="shared" si="6"/>
        <v>252</v>
      </c>
      <c r="AS32" s="182">
        <f t="shared" si="7"/>
        <v>0</v>
      </c>
      <c r="AT32" s="174"/>
      <c r="AU32" s="174"/>
      <c r="AV32" s="182">
        <f t="shared" si="8"/>
        <v>0</v>
      </c>
      <c r="AW32" s="179"/>
    </row>
    <row r="33" spans="2:49" s="149" customFormat="1">
      <c r="B33" s="278">
        <v>28</v>
      </c>
      <c r="C33" s="273" t="s">
        <v>310</v>
      </c>
      <c r="D33" s="273" t="s">
        <v>367</v>
      </c>
      <c r="E33" s="275" t="s">
        <v>472</v>
      </c>
      <c r="F33" s="271">
        <v>35</v>
      </c>
      <c r="G33" s="272">
        <v>15</v>
      </c>
      <c r="H33" s="272"/>
      <c r="I33" s="182">
        <f t="shared" si="3"/>
        <v>15</v>
      </c>
      <c r="J33" s="276"/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>
        <v>1</v>
      </c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182">
        <f t="shared" si="4"/>
        <v>1</v>
      </c>
      <c r="AP33" s="182">
        <f t="shared" si="9"/>
        <v>14</v>
      </c>
      <c r="AQ33" s="182">
        <f t="shared" si="5"/>
        <v>35</v>
      </c>
      <c r="AR33" s="182">
        <f t="shared" si="6"/>
        <v>490</v>
      </c>
      <c r="AS33" s="182">
        <f t="shared" si="7"/>
        <v>0</v>
      </c>
      <c r="AT33" s="174"/>
      <c r="AU33" s="174"/>
      <c r="AV33" s="182">
        <f t="shared" si="8"/>
        <v>0</v>
      </c>
      <c r="AW33" s="179"/>
    </row>
    <row r="34" spans="2:49" s="149" customFormat="1">
      <c r="B34" s="278">
        <v>29</v>
      </c>
      <c r="C34" s="273" t="s">
        <v>311</v>
      </c>
      <c r="D34" s="273" t="s">
        <v>367</v>
      </c>
      <c r="E34" s="275" t="s">
        <v>10</v>
      </c>
      <c r="F34" s="271">
        <v>20</v>
      </c>
      <c r="G34" s="272">
        <v>2</v>
      </c>
      <c r="H34" s="272"/>
      <c r="I34" s="182">
        <f t="shared" si="3"/>
        <v>2</v>
      </c>
      <c r="J34" s="276"/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>
        <v>1</v>
      </c>
      <c r="Z34" s="276"/>
      <c r="AA34" s="276"/>
      <c r="AB34" s="276"/>
      <c r="AC34" s="276"/>
      <c r="AD34" s="276"/>
      <c r="AE34" s="276"/>
      <c r="AF34" s="276"/>
      <c r="AG34" s="276"/>
      <c r="AH34" s="276"/>
      <c r="AI34" s="276"/>
      <c r="AJ34" s="276"/>
      <c r="AK34" s="276"/>
      <c r="AL34" s="276"/>
      <c r="AM34" s="276"/>
      <c r="AN34" s="276"/>
      <c r="AO34" s="182">
        <f t="shared" si="4"/>
        <v>1</v>
      </c>
      <c r="AP34" s="182">
        <f t="shared" si="9"/>
        <v>1</v>
      </c>
      <c r="AQ34" s="182">
        <f t="shared" si="5"/>
        <v>20</v>
      </c>
      <c r="AR34" s="182">
        <f t="shared" si="6"/>
        <v>20</v>
      </c>
      <c r="AS34" s="182">
        <f t="shared" si="7"/>
        <v>0</v>
      </c>
      <c r="AT34" s="174"/>
      <c r="AU34" s="174"/>
      <c r="AV34" s="182">
        <f t="shared" si="8"/>
        <v>0</v>
      </c>
      <c r="AW34" s="179"/>
    </row>
    <row r="35" spans="2:49" s="149" customFormat="1">
      <c r="B35" s="278">
        <v>30</v>
      </c>
      <c r="C35" s="273" t="s">
        <v>28</v>
      </c>
      <c r="D35" s="273" t="s">
        <v>368</v>
      </c>
      <c r="E35" s="275" t="s">
        <v>11</v>
      </c>
      <c r="F35" s="271">
        <v>18</v>
      </c>
      <c r="G35" s="272">
        <v>4</v>
      </c>
      <c r="H35" s="272"/>
      <c r="I35" s="182">
        <f t="shared" si="3"/>
        <v>4</v>
      </c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/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182">
        <f t="shared" si="4"/>
        <v>0</v>
      </c>
      <c r="AP35" s="182">
        <f t="shared" si="9"/>
        <v>4</v>
      </c>
      <c r="AQ35" s="182">
        <f t="shared" si="5"/>
        <v>0</v>
      </c>
      <c r="AR35" s="182">
        <f t="shared" si="6"/>
        <v>72</v>
      </c>
      <c r="AS35" s="182">
        <f t="shared" si="7"/>
        <v>0</v>
      </c>
      <c r="AT35" s="174"/>
      <c r="AU35" s="174"/>
      <c r="AV35" s="182">
        <f t="shared" si="8"/>
        <v>0</v>
      </c>
      <c r="AW35" s="179"/>
    </row>
    <row r="36" spans="2:49" s="149" customFormat="1">
      <c r="B36" s="278">
        <v>31</v>
      </c>
      <c r="C36" s="280" t="s">
        <v>312</v>
      </c>
      <c r="D36" s="273" t="s">
        <v>364</v>
      </c>
      <c r="E36" s="275" t="s">
        <v>11</v>
      </c>
      <c r="F36" s="271">
        <v>35</v>
      </c>
      <c r="G36" s="272">
        <v>2</v>
      </c>
      <c r="H36" s="272"/>
      <c r="I36" s="182">
        <f t="shared" si="3"/>
        <v>2</v>
      </c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276"/>
      <c r="AH36" s="276"/>
      <c r="AI36" s="276"/>
      <c r="AJ36" s="276"/>
      <c r="AK36" s="276"/>
      <c r="AL36" s="276"/>
      <c r="AM36" s="276"/>
      <c r="AN36" s="276"/>
      <c r="AO36" s="182">
        <f t="shared" si="4"/>
        <v>0</v>
      </c>
      <c r="AP36" s="182">
        <f t="shared" si="9"/>
        <v>2</v>
      </c>
      <c r="AQ36" s="182">
        <f t="shared" si="5"/>
        <v>0</v>
      </c>
      <c r="AR36" s="182">
        <f t="shared" si="6"/>
        <v>70</v>
      </c>
      <c r="AS36" s="182">
        <f t="shared" si="7"/>
        <v>0</v>
      </c>
      <c r="AT36" s="174"/>
      <c r="AU36" s="174"/>
      <c r="AV36" s="182">
        <f t="shared" si="8"/>
        <v>0</v>
      </c>
      <c r="AW36" s="179"/>
    </row>
    <row r="37" spans="2:49" s="149" customFormat="1">
      <c r="B37" s="278">
        <v>32</v>
      </c>
      <c r="C37" s="280" t="s">
        <v>465</v>
      </c>
      <c r="D37" s="273" t="s">
        <v>361</v>
      </c>
      <c r="E37" s="275" t="s">
        <v>10</v>
      </c>
      <c r="F37" s="271">
        <v>38</v>
      </c>
      <c r="G37" s="272">
        <v>3</v>
      </c>
      <c r="H37" s="272"/>
      <c r="I37" s="182">
        <f t="shared" si="3"/>
        <v>3</v>
      </c>
      <c r="J37" s="276"/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/>
      <c r="AM37" s="276"/>
      <c r="AN37" s="276"/>
      <c r="AO37" s="182">
        <f t="shared" si="4"/>
        <v>0</v>
      </c>
      <c r="AP37" s="182">
        <f t="shared" si="9"/>
        <v>3</v>
      </c>
      <c r="AQ37" s="182">
        <f t="shared" si="5"/>
        <v>0</v>
      </c>
      <c r="AR37" s="182">
        <f t="shared" si="6"/>
        <v>114</v>
      </c>
      <c r="AS37" s="182">
        <f t="shared" si="7"/>
        <v>0</v>
      </c>
      <c r="AT37" s="174"/>
      <c r="AU37" s="174"/>
      <c r="AV37" s="182">
        <f t="shared" si="8"/>
        <v>0</v>
      </c>
      <c r="AW37" s="179"/>
    </row>
    <row r="38" spans="2:49" s="149" customFormat="1">
      <c r="B38" s="278">
        <v>33</v>
      </c>
      <c r="C38" s="273" t="s">
        <v>29</v>
      </c>
      <c r="D38" s="273" t="s">
        <v>367</v>
      </c>
      <c r="E38" s="275" t="s">
        <v>10</v>
      </c>
      <c r="F38" s="271">
        <v>18</v>
      </c>
      <c r="G38" s="272">
        <v>1</v>
      </c>
      <c r="H38" s="272"/>
      <c r="I38" s="182">
        <f t="shared" si="3"/>
        <v>1</v>
      </c>
      <c r="J38" s="276"/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76"/>
      <c r="AM38" s="276"/>
      <c r="AN38" s="276"/>
      <c r="AO38" s="182">
        <f t="shared" si="4"/>
        <v>0</v>
      </c>
      <c r="AP38" s="182">
        <f t="shared" si="9"/>
        <v>1</v>
      </c>
      <c r="AQ38" s="182">
        <f t="shared" si="5"/>
        <v>0</v>
      </c>
      <c r="AR38" s="182">
        <f t="shared" si="6"/>
        <v>18</v>
      </c>
      <c r="AS38" s="182">
        <f t="shared" si="7"/>
        <v>0</v>
      </c>
      <c r="AT38" s="174"/>
      <c r="AU38" s="174"/>
      <c r="AV38" s="182">
        <f t="shared" si="8"/>
        <v>0</v>
      </c>
      <c r="AW38" s="179"/>
    </row>
    <row r="39" spans="2:49" s="149" customFormat="1">
      <c r="B39" s="278">
        <v>34</v>
      </c>
      <c r="C39" s="273" t="s">
        <v>313</v>
      </c>
      <c r="D39" s="273" t="s">
        <v>360</v>
      </c>
      <c r="E39" s="275" t="s">
        <v>10</v>
      </c>
      <c r="F39" s="271">
        <v>360</v>
      </c>
      <c r="G39" s="272">
        <v>0</v>
      </c>
      <c r="H39" s="272"/>
      <c r="I39" s="182">
        <f t="shared" si="3"/>
        <v>0</v>
      </c>
      <c r="J39" s="276"/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  <c r="AG39" s="276"/>
      <c r="AH39" s="276"/>
      <c r="AI39" s="276"/>
      <c r="AJ39" s="276"/>
      <c r="AK39" s="276"/>
      <c r="AL39" s="276"/>
      <c r="AM39" s="276"/>
      <c r="AN39" s="276"/>
      <c r="AO39" s="182">
        <f t="shared" si="4"/>
        <v>0</v>
      </c>
      <c r="AP39" s="182">
        <f t="shared" si="9"/>
        <v>0</v>
      </c>
      <c r="AQ39" s="182">
        <f t="shared" si="5"/>
        <v>0</v>
      </c>
      <c r="AR39" s="182">
        <f t="shared" si="6"/>
        <v>0</v>
      </c>
      <c r="AS39" s="182">
        <f t="shared" si="7"/>
        <v>0</v>
      </c>
      <c r="AT39" s="174"/>
      <c r="AU39" s="174"/>
      <c r="AV39" s="182">
        <f t="shared" si="8"/>
        <v>0</v>
      </c>
      <c r="AW39" s="179"/>
    </row>
    <row r="40" spans="2:49" s="149" customFormat="1">
      <c r="B40" s="278">
        <v>35</v>
      </c>
      <c r="C40" s="273" t="s">
        <v>30</v>
      </c>
      <c r="D40" s="273" t="s">
        <v>369</v>
      </c>
      <c r="E40" s="275" t="s">
        <v>10</v>
      </c>
      <c r="F40" s="271">
        <v>29</v>
      </c>
      <c r="G40" s="272">
        <v>2</v>
      </c>
      <c r="H40" s="272"/>
      <c r="I40" s="182">
        <f t="shared" si="3"/>
        <v>2</v>
      </c>
      <c r="J40" s="276"/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  <c r="AG40" s="276"/>
      <c r="AH40" s="276"/>
      <c r="AI40" s="276"/>
      <c r="AJ40" s="276"/>
      <c r="AK40" s="276"/>
      <c r="AL40" s="276"/>
      <c r="AM40" s="276"/>
      <c r="AN40" s="276"/>
      <c r="AO40" s="182">
        <f t="shared" si="4"/>
        <v>0</v>
      </c>
      <c r="AP40" s="182">
        <f t="shared" si="9"/>
        <v>2</v>
      </c>
      <c r="AQ40" s="182">
        <f t="shared" si="5"/>
        <v>0</v>
      </c>
      <c r="AR40" s="182">
        <f t="shared" si="6"/>
        <v>58</v>
      </c>
      <c r="AS40" s="182">
        <f t="shared" si="7"/>
        <v>0</v>
      </c>
      <c r="AT40" s="174"/>
      <c r="AU40" s="174"/>
      <c r="AV40" s="182">
        <f t="shared" si="8"/>
        <v>0</v>
      </c>
      <c r="AW40" s="179"/>
    </row>
    <row r="41" spans="2:49" s="149" customFormat="1">
      <c r="B41" s="278">
        <v>36</v>
      </c>
      <c r="C41" s="273" t="s">
        <v>31</v>
      </c>
      <c r="D41" s="273" t="s">
        <v>361</v>
      </c>
      <c r="E41" s="275" t="s">
        <v>32</v>
      </c>
      <c r="F41" s="271">
        <v>28</v>
      </c>
      <c r="G41" s="272">
        <v>2</v>
      </c>
      <c r="H41" s="272"/>
      <c r="I41" s="182">
        <f t="shared" si="3"/>
        <v>2</v>
      </c>
      <c r="J41" s="276"/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76"/>
      <c r="AM41" s="276"/>
      <c r="AN41" s="276"/>
      <c r="AO41" s="182">
        <f t="shared" si="4"/>
        <v>0</v>
      </c>
      <c r="AP41" s="182">
        <f t="shared" si="9"/>
        <v>2</v>
      </c>
      <c r="AQ41" s="182">
        <f t="shared" si="5"/>
        <v>0</v>
      </c>
      <c r="AR41" s="182">
        <f t="shared" si="6"/>
        <v>56</v>
      </c>
      <c r="AS41" s="182">
        <f t="shared" si="7"/>
        <v>0</v>
      </c>
      <c r="AT41" s="174"/>
      <c r="AU41" s="174"/>
      <c r="AV41" s="182">
        <f t="shared" si="8"/>
        <v>0</v>
      </c>
      <c r="AW41" s="179"/>
    </row>
    <row r="42" spans="2:49" s="149" customFormat="1">
      <c r="B42" s="278">
        <v>37</v>
      </c>
      <c r="C42" s="273" t="s">
        <v>33</v>
      </c>
      <c r="D42" s="273" t="s">
        <v>362</v>
      </c>
      <c r="E42" s="270" t="s">
        <v>11</v>
      </c>
      <c r="F42" s="271">
        <v>16</v>
      </c>
      <c r="G42" s="272">
        <v>11</v>
      </c>
      <c r="H42" s="272"/>
      <c r="I42" s="182">
        <f t="shared" si="3"/>
        <v>11</v>
      </c>
      <c r="J42" s="276"/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/>
      <c r="AM42" s="276"/>
      <c r="AN42" s="276"/>
      <c r="AO42" s="182">
        <f t="shared" si="4"/>
        <v>0</v>
      </c>
      <c r="AP42" s="182">
        <f t="shared" si="9"/>
        <v>11</v>
      </c>
      <c r="AQ42" s="182">
        <f t="shared" si="5"/>
        <v>0</v>
      </c>
      <c r="AR42" s="182">
        <f t="shared" si="6"/>
        <v>176</v>
      </c>
      <c r="AS42" s="182">
        <f t="shared" si="7"/>
        <v>0</v>
      </c>
      <c r="AT42" s="174"/>
      <c r="AU42" s="174"/>
      <c r="AV42" s="182">
        <f t="shared" si="8"/>
        <v>0</v>
      </c>
      <c r="AW42" s="179"/>
    </row>
    <row r="43" spans="2:49" s="149" customFormat="1">
      <c r="B43" s="278">
        <v>38</v>
      </c>
      <c r="C43" s="273" t="s">
        <v>34</v>
      </c>
      <c r="D43" s="273" t="s">
        <v>370</v>
      </c>
      <c r="E43" s="275" t="s">
        <v>10</v>
      </c>
      <c r="F43" s="271">
        <v>6.5</v>
      </c>
      <c r="G43" s="272">
        <v>33</v>
      </c>
      <c r="H43" s="272"/>
      <c r="I43" s="182">
        <f t="shared" si="3"/>
        <v>33</v>
      </c>
      <c r="J43" s="276"/>
      <c r="K43" s="276"/>
      <c r="L43" s="276"/>
      <c r="M43" s="276"/>
      <c r="N43" s="276"/>
      <c r="O43" s="276"/>
      <c r="P43" s="276"/>
      <c r="Q43" s="276"/>
      <c r="R43" s="276"/>
      <c r="S43" s="276"/>
      <c r="T43" s="276"/>
      <c r="U43" s="276"/>
      <c r="V43" s="276">
        <v>1</v>
      </c>
      <c r="W43" s="276">
        <v>1</v>
      </c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/>
      <c r="AO43" s="182">
        <f t="shared" si="4"/>
        <v>2</v>
      </c>
      <c r="AP43" s="182">
        <f t="shared" si="9"/>
        <v>31</v>
      </c>
      <c r="AQ43" s="182">
        <f t="shared" si="5"/>
        <v>13</v>
      </c>
      <c r="AR43" s="182">
        <f t="shared" si="6"/>
        <v>201.5</v>
      </c>
      <c r="AS43" s="182">
        <f t="shared" si="7"/>
        <v>0</v>
      </c>
      <c r="AT43" s="174"/>
      <c r="AU43" s="174"/>
      <c r="AV43" s="182">
        <f t="shared" si="8"/>
        <v>0</v>
      </c>
      <c r="AW43" s="179"/>
    </row>
    <row r="44" spans="2:49" s="149" customFormat="1">
      <c r="B44" s="278">
        <v>39</v>
      </c>
      <c r="C44" s="280" t="s">
        <v>463</v>
      </c>
      <c r="D44" s="273" t="s">
        <v>357</v>
      </c>
      <c r="E44" s="275" t="s">
        <v>10</v>
      </c>
      <c r="F44" s="271">
        <v>90</v>
      </c>
      <c r="G44" s="272">
        <v>0</v>
      </c>
      <c r="H44" s="272">
        <v>5</v>
      </c>
      <c r="I44" s="182">
        <f t="shared" si="3"/>
        <v>5</v>
      </c>
      <c r="J44" s="276"/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182">
        <f t="shared" si="4"/>
        <v>0</v>
      </c>
      <c r="AP44" s="182">
        <f t="shared" si="9"/>
        <v>5</v>
      </c>
      <c r="AQ44" s="182">
        <f t="shared" si="5"/>
        <v>0</v>
      </c>
      <c r="AR44" s="182">
        <f t="shared" si="6"/>
        <v>450</v>
      </c>
      <c r="AS44" s="182">
        <f t="shared" si="7"/>
        <v>450</v>
      </c>
      <c r="AT44" s="174"/>
      <c r="AU44" s="174"/>
      <c r="AV44" s="182">
        <f t="shared" si="8"/>
        <v>450</v>
      </c>
      <c r="AW44" s="179"/>
    </row>
    <row r="45" spans="2:49" s="149" customFormat="1">
      <c r="B45" s="278">
        <v>40</v>
      </c>
      <c r="C45" s="280" t="s">
        <v>464</v>
      </c>
      <c r="D45" s="273" t="s">
        <v>357</v>
      </c>
      <c r="E45" s="275" t="s">
        <v>10</v>
      </c>
      <c r="F45" s="271">
        <v>60</v>
      </c>
      <c r="G45" s="272">
        <v>2</v>
      </c>
      <c r="H45" s="272">
        <v>5</v>
      </c>
      <c r="I45" s="182">
        <f t="shared" si="3"/>
        <v>7</v>
      </c>
      <c r="J45" s="276"/>
      <c r="K45" s="276">
        <v>1</v>
      </c>
      <c r="L45" s="276">
        <v>1</v>
      </c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>
        <v>1</v>
      </c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182">
        <f t="shared" si="4"/>
        <v>3</v>
      </c>
      <c r="AP45" s="182">
        <f t="shared" si="9"/>
        <v>4</v>
      </c>
      <c r="AQ45" s="182">
        <f t="shared" si="5"/>
        <v>180</v>
      </c>
      <c r="AR45" s="182">
        <f t="shared" si="6"/>
        <v>240</v>
      </c>
      <c r="AS45" s="182">
        <f t="shared" si="7"/>
        <v>300</v>
      </c>
      <c r="AT45" s="174"/>
      <c r="AU45" s="174"/>
      <c r="AV45" s="182">
        <f t="shared" si="8"/>
        <v>300</v>
      </c>
      <c r="AW45" s="179"/>
    </row>
    <row r="46" spans="2:49" s="149" customFormat="1">
      <c r="B46" s="278">
        <v>41</v>
      </c>
      <c r="C46" s="273" t="s">
        <v>314</v>
      </c>
      <c r="D46" s="273" t="s">
        <v>370</v>
      </c>
      <c r="E46" s="275" t="s">
        <v>10</v>
      </c>
      <c r="F46" s="271">
        <v>5.5</v>
      </c>
      <c r="G46" s="272">
        <v>12</v>
      </c>
      <c r="H46" s="272"/>
      <c r="I46" s="182">
        <f t="shared" si="3"/>
        <v>12</v>
      </c>
      <c r="J46" s="276"/>
      <c r="K46" s="276"/>
      <c r="L46" s="276"/>
      <c r="M46" s="276"/>
      <c r="N46" s="276"/>
      <c r="O46" s="276"/>
      <c r="P46" s="276"/>
      <c r="Q46" s="276"/>
      <c r="R46" s="276">
        <v>2</v>
      </c>
      <c r="S46" s="276"/>
      <c r="T46" s="276"/>
      <c r="U46" s="276"/>
      <c r="V46" s="276"/>
      <c r="W46" s="276"/>
      <c r="X46" s="276"/>
      <c r="Y46" s="276">
        <v>10</v>
      </c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  <c r="AO46" s="182">
        <f t="shared" si="4"/>
        <v>12</v>
      </c>
      <c r="AP46" s="182">
        <f t="shared" si="9"/>
        <v>0</v>
      </c>
      <c r="AQ46" s="182">
        <f t="shared" si="5"/>
        <v>66</v>
      </c>
      <c r="AR46" s="182">
        <f t="shared" si="6"/>
        <v>0</v>
      </c>
      <c r="AS46" s="182">
        <f t="shared" si="7"/>
        <v>0</v>
      </c>
      <c r="AT46" s="174"/>
      <c r="AU46" s="174"/>
      <c r="AV46" s="182">
        <f t="shared" si="8"/>
        <v>0</v>
      </c>
      <c r="AW46" s="179"/>
    </row>
    <row r="47" spans="2:49" s="149" customFormat="1">
      <c r="B47" s="278">
        <v>42</v>
      </c>
      <c r="C47" s="273" t="s">
        <v>35</v>
      </c>
      <c r="D47" s="273" t="s">
        <v>360</v>
      </c>
      <c r="E47" s="275" t="s">
        <v>10</v>
      </c>
      <c r="F47" s="271">
        <v>28</v>
      </c>
      <c r="G47" s="272">
        <v>0</v>
      </c>
      <c r="H47" s="272"/>
      <c r="I47" s="182">
        <f t="shared" si="3"/>
        <v>0</v>
      </c>
      <c r="J47" s="276"/>
      <c r="K47" s="276"/>
      <c r="L47" s="276"/>
      <c r="M47" s="276"/>
      <c r="N47" s="276"/>
      <c r="O47" s="276"/>
      <c r="P47" s="276"/>
      <c r="Q47" s="276"/>
      <c r="R47" s="276"/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L47" s="276"/>
      <c r="AM47" s="276"/>
      <c r="AN47" s="276"/>
      <c r="AO47" s="182">
        <f t="shared" si="4"/>
        <v>0</v>
      </c>
      <c r="AP47" s="182">
        <f t="shared" si="9"/>
        <v>0</v>
      </c>
      <c r="AQ47" s="182">
        <f t="shared" si="5"/>
        <v>0</v>
      </c>
      <c r="AR47" s="182">
        <f t="shared" si="6"/>
        <v>0</v>
      </c>
      <c r="AS47" s="182">
        <f t="shared" si="7"/>
        <v>0</v>
      </c>
      <c r="AT47" s="174"/>
      <c r="AU47" s="174"/>
      <c r="AV47" s="182">
        <f t="shared" si="8"/>
        <v>0</v>
      </c>
      <c r="AW47" s="179"/>
    </row>
    <row r="48" spans="2:49" s="149" customFormat="1">
      <c r="B48" s="278">
        <v>43</v>
      </c>
      <c r="C48" s="273" t="s">
        <v>36</v>
      </c>
      <c r="D48" s="273" t="s">
        <v>361</v>
      </c>
      <c r="E48" s="275" t="s">
        <v>10</v>
      </c>
      <c r="F48" s="271">
        <v>28</v>
      </c>
      <c r="G48" s="272">
        <v>2</v>
      </c>
      <c r="H48" s="272"/>
      <c r="I48" s="182">
        <f t="shared" si="3"/>
        <v>2</v>
      </c>
      <c r="J48" s="276"/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L48" s="276"/>
      <c r="AM48" s="276"/>
      <c r="AN48" s="276"/>
      <c r="AO48" s="182">
        <f t="shared" si="4"/>
        <v>0</v>
      </c>
      <c r="AP48" s="182">
        <f t="shared" si="9"/>
        <v>2</v>
      </c>
      <c r="AQ48" s="182">
        <f t="shared" si="5"/>
        <v>0</v>
      </c>
      <c r="AR48" s="182">
        <f t="shared" si="6"/>
        <v>56</v>
      </c>
      <c r="AS48" s="182">
        <f t="shared" si="7"/>
        <v>0</v>
      </c>
      <c r="AT48" s="174"/>
      <c r="AU48" s="174"/>
      <c r="AV48" s="182">
        <f t="shared" si="8"/>
        <v>0</v>
      </c>
      <c r="AW48" s="179"/>
    </row>
    <row r="49" spans="2:49" s="149" customFormat="1">
      <c r="B49" s="278">
        <v>44</v>
      </c>
      <c r="C49" s="273" t="s">
        <v>37</v>
      </c>
      <c r="D49" s="273" t="s">
        <v>371</v>
      </c>
      <c r="E49" s="275" t="s">
        <v>11</v>
      </c>
      <c r="F49" s="271">
        <v>36</v>
      </c>
      <c r="G49" s="272">
        <v>1</v>
      </c>
      <c r="H49" s="272"/>
      <c r="I49" s="182">
        <f t="shared" si="3"/>
        <v>1</v>
      </c>
      <c r="J49" s="276"/>
      <c r="K49" s="276"/>
      <c r="L49" s="276"/>
      <c r="M49" s="276"/>
      <c r="N49" s="276"/>
      <c r="O49" s="276"/>
      <c r="P49" s="276"/>
      <c r="Q49" s="276"/>
      <c r="R49" s="276"/>
      <c r="S49" s="276"/>
      <c r="T49" s="276"/>
      <c r="U49" s="276"/>
      <c r="V49" s="276"/>
      <c r="W49" s="276"/>
      <c r="X49" s="276"/>
      <c r="Y49" s="276"/>
      <c r="Z49" s="276"/>
      <c r="AA49" s="276"/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L49" s="276"/>
      <c r="AM49" s="276"/>
      <c r="AN49" s="276"/>
      <c r="AO49" s="182">
        <f t="shared" si="4"/>
        <v>0</v>
      </c>
      <c r="AP49" s="182">
        <f t="shared" si="9"/>
        <v>1</v>
      </c>
      <c r="AQ49" s="182">
        <f t="shared" si="5"/>
        <v>0</v>
      </c>
      <c r="AR49" s="182">
        <f t="shared" si="6"/>
        <v>36</v>
      </c>
      <c r="AS49" s="182">
        <f t="shared" si="7"/>
        <v>0</v>
      </c>
      <c r="AT49" s="174"/>
      <c r="AU49" s="174"/>
      <c r="AV49" s="182">
        <f t="shared" si="8"/>
        <v>0</v>
      </c>
      <c r="AW49" s="179"/>
    </row>
    <row r="50" spans="2:49" s="149" customFormat="1">
      <c r="B50" s="278">
        <v>45</v>
      </c>
      <c r="C50" s="280" t="s">
        <v>471</v>
      </c>
      <c r="D50" s="273" t="s">
        <v>369</v>
      </c>
      <c r="E50" s="275" t="s">
        <v>32</v>
      </c>
      <c r="F50" s="271">
        <v>9</v>
      </c>
      <c r="G50" s="272">
        <v>23</v>
      </c>
      <c r="H50" s="272"/>
      <c r="I50" s="182">
        <f t="shared" si="3"/>
        <v>23</v>
      </c>
      <c r="J50" s="276"/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>
        <v>10</v>
      </c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182">
        <f t="shared" si="4"/>
        <v>10</v>
      </c>
      <c r="AP50" s="182">
        <f t="shared" si="9"/>
        <v>13</v>
      </c>
      <c r="AQ50" s="182">
        <f t="shared" si="5"/>
        <v>90</v>
      </c>
      <c r="AR50" s="182">
        <f t="shared" si="6"/>
        <v>117</v>
      </c>
      <c r="AS50" s="182">
        <f t="shared" si="7"/>
        <v>0</v>
      </c>
      <c r="AT50" s="174"/>
      <c r="AU50" s="174"/>
      <c r="AV50" s="182">
        <f t="shared" si="8"/>
        <v>0</v>
      </c>
      <c r="AW50" s="179"/>
    </row>
    <row r="51" spans="2:49" s="149" customFormat="1">
      <c r="B51" s="278">
        <v>46</v>
      </c>
      <c r="C51" s="273" t="s">
        <v>38</v>
      </c>
      <c r="D51" s="273" t="s">
        <v>367</v>
      </c>
      <c r="E51" s="275" t="s">
        <v>10</v>
      </c>
      <c r="F51" s="271">
        <v>32</v>
      </c>
      <c r="G51" s="272">
        <v>1</v>
      </c>
      <c r="H51" s="272"/>
      <c r="I51" s="182">
        <f t="shared" si="3"/>
        <v>1</v>
      </c>
      <c r="J51" s="276"/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276"/>
      <c r="AI51" s="276"/>
      <c r="AJ51" s="276"/>
      <c r="AK51" s="276"/>
      <c r="AL51" s="276"/>
      <c r="AM51" s="276"/>
      <c r="AN51" s="276"/>
      <c r="AO51" s="182">
        <f t="shared" si="4"/>
        <v>0</v>
      </c>
      <c r="AP51" s="182">
        <f t="shared" si="9"/>
        <v>1</v>
      </c>
      <c r="AQ51" s="182">
        <f t="shared" si="5"/>
        <v>0</v>
      </c>
      <c r="AR51" s="182">
        <f t="shared" si="6"/>
        <v>32</v>
      </c>
      <c r="AS51" s="182">
        <f t="shared" si="7"/>
        <v>0</v>
      </c>
      <c r="AT51" s="174"/>
      <c r="AU51" s="174"/>
      <c r="AV51" s="182">
        <f t="shared" si="8"/>
        <v>0</v>
      </c>
      <c r="AW51" s="179"/>
    </row>
    <row r="52" spans="2:49" s="149" customFormat="1">
      <c r="B52" s="278">
        <v>47</v>
      </c>
      <c r="C52" s="273" t="s">
        <v>315</v>
      </c>
      <c r="D52" s="273" t="s">
        <v>369</v>
      </c>
      <c r="E52" s="275" t="s">
        <v>10</v>
      </c>
      <c r="F52" s="271">
        <v>4.5</v>
      </c>
      <c r="G52" s="272">
        <v>6</v>
      </c>
      <c r="H52" s="272"/>
      <c r="I52" s="182">
        <f t="shared" si="3"/>
        <v>6</v>
      </c>
      <c r="J52" s="276"/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276"/>
      <c r="AJ52" s="276"/>
      <c r="AK52" s="276"/>
      <c r="AL52" s="276"/>
      <c r="AM52" s="276"/>
      <c r="AN52" s="276"/>
      <c r="AO52" s="182">
        <f t="shared" si="4"/>
        <v>0</v>
      </c>
      <c r="AP52" s="182">
        <f t="shared" si="9"/>
        <v>6</v>
      </c>
      <c r="AQ52" s="182">
        <f t="shared" si="5"/>
        <v>0</v>
      </c>
      <c r="AR52" s="182">
        <f t="shared" si="6"/>
        <v>27</v>
      </c>
      <c r="AS52" s="182">
        <f t="shared" si="7"/>
        <v>0</v>
      </c>
      <c r="AT52" s="174"/>
      <c r="AU52" s="174"/>
      <c r="AV52" s="182">
        <f t="shared" si="8"/>
        <v>0</v>
      </c>
      <c r="AW52" s="179"/>
    </row>
    <row r="53" spans="2:49" s="149" customFormat="1">
      <c r="B53" s="278">
        <v>48</v>
      </c>
      <c r="C53" s="273" t="s">
        <v>316</v>
      </c>
      <c r="D53" s="273" t="s">
        <v>360</v>
      </c>
      <c r="E53" s="275" t="s">
        <v>10</v>
      </c>
      <c r="F53" s="271">
        <v>1.5</v>
      </c>
      <c r="G53" s="272">
        <v>0</v>
      </c>
      <c r="H53" s="272"/>
      <c r="I53" s="182">
        <f t="shared" si="3"/>
        <v>0</v>
      </c>
      <c r="J53" s="276"/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182">
        <f t="shared" si="4"/>
        <v>0</v>
      </c>
      <c r="AP53" s="182">
        <f t="shared" si="9"/>
        <v>0</v>
      </c>
      <c r="AQ53" s="182">
        <f t="shared" si="5"/>
        <v>0</v>
      </c>
      <c r="AR53" s="182">
        <f t="shared" si="6"/>
        <v>0</v>
      </c>
      <c r="AS53" s="182">
        <f t="shared" si="7"/>
        <v>0</v>
      </c>
      <c r="AT53" s="174"/>
      <c r="AU53" s="174"/>
      <c r="AV53" s="182">
        <f t="shared" si="8"/>
        <v>0</v>
      </c>
      <c r="AW53" s="179"/>
    </row>
    <row r="54" spans="2:49" s="149" customFormat="1">
      <c r="B54" s="278">
        <v>49</v>
      </c>
      <c r="C54" s="280" t="s">
        <v>39</v>
      </c>
      <c r="D54" s="273" t="s">
        <v>361</v>
      </c>
      <c r="E54" s="275" t="s">
        <v>10</v>
      </c>
      <c r="F54" s="271">
        <v>18</v>
      </c>
      <c r="G54" s="272">
        <v>5</v>
      </c>
      <c r="H54" s="272"/>
      <c r="I54" s="182">
        <f t="shared" si="3"/>
        <v>5</v>
      </c>
      <c r="J54" s="276"/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182">
        <f t="shared" si="4"/>
        <v>0</v>
      </c>
      <c r="AP54" s="182">
        <f t="shared" si="9"/>
        <v>5</v>
      </c>
      <c r="AQ54" s="182">
        <f t="shared" si="5"/>
        <v>0</v>
      </c>
      <c r="AR54" s="182">
        <f t="shared" si="6"/>
        <v>90</v>
      </c>
      <c r="AS54" s="182">
        <f t="shared" si="7"/>
        <v>0</v>
      </c>
      <c r="AT54" s="174"/>
      <c r="AU54" s="174"/>
      <c r="AV54" s="182">
        <f t="shared" si="8"/>
        <v>0</v>
      </c>
      <c r="AW54" s="179"/>
    </row>
    <row r="55" spans="2:49" s="149" customFormat="1">
      <c r="B55" s="278">
        <v>50</v>
      </c>
      <c r="C55" s="273" t="s">
        <v>40</v>
      </c>
      <c r="D55" s="273" t="s">
        <v>370</v>
      </c>
      <c r="E55" s="275" t="s">
        <v>10</v>
      </c>
      <c r="F55" s="271">
        <v>70</v>
      </c>
      <c r="G55" s="272">
        <v>1</v>
      </c>
      <c r="H55" s="272"/>
      <c r="I55" s="182">
        <f t="shared" si="3"/>
        <v>1</v>
      </c>
      <c r="J55" s="276"/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182">
        <f t="shared" si="4"/>
        <v>0</v>
      </c>
      <c r="AP55" s="182">
        <f t="shared" si="9"/>
        <v>1</v>
      </c>
      <c r="AQ55" s="182">
        <f t="shared" si="5"/>
        <v>0</v>
      </c>
      <c r="AR55" s="182">
        <f t="shared" si="6"/>
        <v>70</v>
      </c>
      <c r="AS55" s="182">
        <f t="shared" si="7"/>
        <v>0</v>
      </c>
      <c r="AT55" s="174"/>
      <c r="AU55" s="174"/>
      <c r="AV55" s="182">
        <f t="shared" si="8"/>
        <v>0</v>
      </c>
      <c r="AW55" s="179"/>
    </row>
    <row r="56" spans="2:49" s="149" customFormat="1">
      <c r="B56" s="278">
        <v>51</v>
      </c>
      <c r="C56" s="273" t="s">
        <v>41</v>
      </c>
      <c r="D56" s="273" t="s">
        <v>372</v>
      </c>
      <c r="E56" s="275" t="s">
        <v>10</v>
      </c>
      <c r="F56" s="271">
        <v>15</v>
      </c>
      <c r="G56" s="272">
        <v>6</v>
      </c>
      <c r="H56" s="272"/>
      <c r="I56" s="182">
        <f t="shared" si="3"/>
        <v>6</v>
      </c>
      <c r="J56" s="276"/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276"/>
      <c r="AI56" s="276"/>
      <c r="AJ56" s="276"/>
      <c r="AK56" s="276"/>
      <c r="AL56" s="276"/>
      <c r="AM56" s="276"/>
      <c r="AN56" s="276"/>
      <c r="AO56" s="182">
        <f t="shared" si="4"/>
        <v>0</v>
      </c>
      <c r="AP56" s="182">
        <f t="shared" si="9"/>
        <v>6</v>
      </c>
      <c r="AQ56" s="182">
        <f t="shared" si="5"/>
        <v>0</v>
      </c>
      <c r="AR56" s="182">
        <f t="shared" si="6"/>
        <v>90</v>
      </c>
      <c r="AS56" s="182">
        <f t="shared" si="7"/>
        <v>0</v>
      </c>
      <c r="AT56" s="174"/>
      <c r="AU56" s="174"/>
      <c r="AV56" s="182">
        <f t="shared" si="8"/>
        <v>0</v>
      </c>
      <c r="AW56" s="179"/>
    </row>
    <row r="57" spans="2:49" s="149" customFormat="1">
      <c r="B57" s="278">
        <v>52</v>
      </c>
      <c r="C57" s="273" t="s">
        <v>317</v>
      </c>
      <c r="D57" s="273" t="s">
        <v>373</v>
      </c>
      <c r="E57" s="275" t="s">
        <v>11</v>
      </c>
      <c r="F57" s="271">
        <v>230</v>
      </c>
      <c r="G57" s="272">
        <v>5</v>
      </c>
      <c r="H57" s="272">
        <v>10</v>
      </c>
      <c r="I57" s="182">
        <f t="shared" si="3"/>
        <v>15</v>
      </c>
      <c r="J57" s="276"/>
      <c r="K57" s="276">
        <v>4</v>
      </c>
      <c r="L57" s="276"/>
      <c r="M57" s="276"/>
      <c r="N57" s="276">
        <v>3</v>
      </c>
      <c r="O57" s="276">
        <v>1</v>
      </c>
      <c r="P57" s="276"/>
      <c r="Q57" s="276">
        <v>1</v>
      </c>
      <c r="R57" s="276"/>
      <c r="S57" s="276"/>
      <c r="T57" s="276"/>
      <c r="U57" s="276">
        <v>2</v>
      </c>
      <c r="V57" s="276">
        <v>1</v>
      </c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76"/>
      <c r="AL57" s="276"/>
      <c r="AM57" s="276"/>
      <c r="AN57" s="276"/>
      <c r="AO57" s="182">
        <f t="shared" si="4"/>
        <v>12</v>
      </c>
      <c r="AP57" s="182">
        <f t="shared" si="9"/>
        <v>3</v>
      </c>
      <c r="AQ57" s="182">
        <f t="shared" si="5"/>
        <v>2760</v>
      </c>
      <c r="AR57" s="182">
        <f t="shared" si="6"/>
        <v>690</v>
      </c>
      <c r="AS57" s="182">
        <f t="shared" si="7"/>
        <v>2300</v>
      </c>
      <c r="AT57" s="174"/>
      <c r="AU57" s="174"/>
      <c r="AV57" s="182">
        <f t="shared" si="8"/>
        <v>2300</v>
      </c>
      <c r="AW57" s="179"/>
    </row>
    <row r="58" spans="2:49" s="149" customFormat="1">
      <c r="B58" s="278">
        <v>53</v>
      </c>
      <c r="C58" s="273" t="s">
        <v>42</v>
      </c>
      <c r="D58" s="273" t="s">
        <v>370</v>
      </c>
      <c r="E58" s="275" t="s">
        <v>10</v>
      </c>
      <c r="F58" s="271">
        <v>45</v>
      </c>
      <c r="G58" s="272">
        <v>2</v>
      </c>
      <c r="H58" s="272"/>
      <c r="I58" s="182">
        <f t="shared" si="3"/>
        <v>2</v>
      </c>
      <c r="J58" s="276"/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  <c r="AD58" s="276"/>
      <c r="AE58" s="276"/>
      <c r="AF58" s="276"/>
      <c r="AG58" s="276"/>
      <c r="AH58" s="276"/>
      <c r="AI58" s="276"/>
      <c r="AJ58" s="276"/>
      <c r="AK58" s="276"/>
      <c r="AL58" s="276"/>
      <c r="AM58" s="276"/>
      <c r="AN58" s="276"/>
      <c r="AO58" s="182">
        <f t="shared" si="4"/>
        <v>0</v>
      </c>
      <c r="AP58" s="182">
        <f t="shared" si="9"/>
        <v>2</v>
      </c>
      <c r="AQ58" s="182">
        <f t="shared" si="5"/>
        <v>0</v>
      </c>
      <c r="AR58" s="182">
        <f t="shared" si="6"/>
        <v>90</v>
      </c>
      <c r="AS58" s="182">
        <f t="shared" si="7"/>
        <v>0</v>
      </c>
      <c r="AT58" s="174"/>
      <c r="AU58" s="174"/>
      <c r="AV58" s="182">
        <f t="shared" si="8"/>
        <v>0</v>
      </c>
      <c r="AW58" s="179"/>
    </row>
    <row r="59" spans="2:49" s="149" customFormat="1">
      <c r="B59" s="278">
        <v>54</v>
      </c>
      <c r="C59" s="273" t="s">
        <v>318</v>
      </c>
      <c r="D59" s="273" t="s">
        <v>360</v>
      </c>
      <c r="E59" s="275" t="s">
        <v>10</v>
      </c>
      <c r="F59" s="271">
        <v>45</v>
      </c>
      <c r="G59" s="272">
        <v>4</v>
      </c>
      <c r="H59" s="272"/>
      <c r="I59" s="182">
        <f t="shared" si="3"/>
        <v>4</v>
      </c>
      <c r="J59" s="276"/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76"/>
      <c r="AL59" s="276"/>
      <c r="AM59" s="276"/>
      <c r="AN59" s="276"/>
      <c r="AO59" s="182">
        <f t="shared" si="4"/>
        <v>0</v>
      </c>
      <c r="AP59" s="182">
        <f t="shared" si="9"/>
        <v>4</v>
      </c>
      <c r="AQ59" s="182">
        <f t="shared" si="5"/>
        <v>0</v>
      </c>
      <c r="AR59" s="182">
        <f t="shared" si="6"/>
        <v>180</v>
      </c>
      <c r="AS59" s="182">
        <f t="shared" si="7"/>
        <v>0</v>
      </c>
      <c r="AT59" s="174"/>
      <c r="AU59" s="174"/>
      <c r="AV59" s="182">
        <f t="shared" si="8"/>
        <v>0</v>
      </c>
      <c r="AW59" s="179"/>
    </row>
    <row r="60" spans="2:49" s="149" customFormat="1">
      <c r="B60" s="278">
        <v>55</v>
      </c>
      <c r="C60" s="273" t="s">
        <v>44</v>
      </c>
      <c r="D60" s="273" t="s">
        <v>358</v>
      </c>
      <c r="E60" s="275" t="s">
        <v>10</v>
      </c>
      <c r="F60" s="271">
        <v>24</v>
      </c>
      <c r="G60" s="272">
        <v>5</v>
      </c>
      <c r="H60" s="272"/>
      <c r="I60" s="182">
        <f t="shared" si="3"/>
        <v>5</v>
      </c>
      <c r="J60" s="276"/>
      <c r="K60" s="276"/>
      <c r="L60" s="276"/>
      <c r="M60" s="276"/>
      <c r="N60" s="276"/>
      <c r="O60" s="276"/>
      <c r="P60" s="276"/>
      <c r="Q60" s="276"/>
      <c r="R60" s="276"/>
      <c r="S60" s="276">
        <v>1</v>
      </c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276"/>
      <c r="AI60" s="276"/>
      <c r="AJ60" s="276"/>
      <c r="AK60" s="276"/>
      <c r="AL60" s="276"/>
      <c r="AM60" s="276"/>
      <c r="AN60" s="276"/>
      <c r="AO60" s="182">
        <f t="shared" si="4"/>
        <v>1</v>
      </c>
      <c r="AP60" s="182">
        <f t="shared" si="9"/>
        <v>4</v>
      </c>
      <c r="AQ60" s="182">
        <f t="shared" si="5"/>
        <v>24</v>
      </c>
      <c r="AR60" s="182">
        <f t="shared" si="6"/>
        <v>96</v>
      </c>
      <c r="AS60" s="182">
        <f t="shared" si="7"/>
        <v>0</v>
      </c>
      <c r="AT60" s="174"/>
      <c r="AU60" s="174"/>
      <c r="AV60" s="182">
        <f t="shared" si="8"/>
        <v>0</v>
      </c>
      <c r="AW60" s="179"/>
    </row>
    <row r="61" spans="2:49" s="149" customFormat="1">
      <c r="B61" s="278">
        <v>56</v>
      </c>
      <c r="C61" s="273" t="s">
        <v>319</v>
      </c>
      <c r="D61" s="273" t="s">
        <v>374</v>
      </c>
      <c r="E61" s="275" t="s">
        <v>45</v>
      </c>
      <c r="F61" s="271">
        <v>110</v>
      </c>
      <c r="G61" s="272">
        <v>1</v>
      </c>
      <c r="H61" s="272"/>
      <c r="I61" s="182">
        <f t="shared" si="3"/>
        <v>1</v>
      </c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182">
        <f t="shared" si="4"/>
        <v>0</v>
      </c>
      <c r="AP61" s="182">
        <f t="shared" si="9"/>
        <v>1</v>
      </c>
      <c r="AQ61" s="182">
        <f t="shared" si="5"/>
        <v>0</v>
      </c>
      <c r="AR61" s="182">
        <f t="shared" si="6"/>
        <v>110</v>
      </c>
      <c r="AS61" s="182">
        <f t="shared" si="7"/>
        <v>0</v>
      </c>
      <c r="AT61" s="174"/>
      <c r="AU61" s="174"/>
      <c r="AV61" s="182">
        <f t="shared" si="8"/>
        <v>0</v>
      </c>
      <c r="AW61" s="179"/>
    </row>
    <row r="62" spans="2:49" s="149" customFormat="1">
      <c r="B62" s="278">
        <v>57</v>
      </c>
      <c r="C62" s="273" t="s">
        <v>46</v>
      </c>
      <c r="D62" s="273" t="s">
        <v>360</v>
      </c>
      <c r="E62" s="275" t="s">
        <v>10</v>
      </c>
      <c r="F62" s="271">
        <v>25</v>
      </c>
      <c r="G62" s="272">
        <v>0</v>
      </c>
      <c r="H62" s="272"/>
      <c r="I62" s="182">
        <f t="shared" si="3"/>
        <v>0</v>
      </c>
      <c r="J62" s="276"/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182">
        <f t="shared" si="4"/>
        <v>0</v>
      </c>
      <c r="AP62" s="182">
        <f t="shared" si="9"/>
        <v>0</v>
      </c>
      <c r="AQ62" s="182">
        <f t="shared" si="5"/>
        <v>0</v>
      </c>
      <c r="AR62" s="182">
        <f t="shared" si="6"/>
        <v>0</v>
      </c>
      <c r="AS62" s="182">
        <f t="shared" si="7"/>
        <v>0</v>
      </c>
      <c r="AT62" s="174"/>
      <c r="AU62" s="174"/>
      <c r="AV62" s="182">
        <f t="shared" si="8"/>
        <v>0</v>
      </c>
      <c r="AW62" s="179"/>
    </row>
    <row r="63" spans="2:49" s="149" customFormat="1">
      <c r="B63" s="278">
        <v>58</v>
      </c>
      <c r="C63" s="273" t="s">
        <v>320</v>
      </c>
      <c r="D63" s="273" t="s">
        <v>375</v>
      </c>
      <c r="E63" s="275" t="s">
        <v>10</v>
      </c>
      <c r="F63" s="271">
        <v>10.5</v>
      </c>
      <c r="G63" s="272">
        <v>8</v>
      </c>
      <c r="H63" s="272"/>
      <c r="I63" s="182">
        <f t="shared" si="3"/>
        <v>8</v>
      </c>
      <c r="J63" s="276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276"/>
      <c r="AI63" s="276"/>
      <c r="AJ63" s="276"/>
      <c r="AK63" s="276"/>
      <c r="AL63" s="276"/>
      <c r="AM63" s="276"/>
      <c r="AN63" s="276"/>
      <c r="AO63" s="182">
        <f t="shared" si="4"/>
        <v>0</v>
      </c>
      <c r="AP63" s="182">
        <f t="shared" si="9"/>
        <v>8</v>
      </c>
      <c r="AQ63" s="182">
        <f t="shared" si="5"/>
        <v>0</v>
      </c>
      <c r="AR63" s="182">
        <f t="shared" si="6"/>
        <v>84</v>
      </c>
      <c r="AS63" s="182">
        <f t="shared" si="7"/>
        <v>0</v>
      </c>
      <c r="AT63" s="174"/>
      <c r="AU63" s="174"/>
      <c r="AV63" s="182">
        <f t="shared" si="8"/>
        <v>0</v>
      </c>
      <c r="AW63" s="179"/>
    </row>
    <row r="64" spans="2:49" s="149" customFormat="1">
      <c r="B64" s="278">
        <v>59</v>
      </c>
      <c r="C64" s="273" t="s">
        <v>321</v>
      </c>
      <c r="D64" s="273" t="s">
        <v>375</v>
      </c>
      <c r="E64" s="275" t="s">
        <v>10</v>
      </c>
      <c r="F64" s="271">
        <v>10.5</v>
      </c>
      <c r="G64" s="272">
        <v>20</v>
      </c>
      <c r="H64" s="272"/>
      <c r="I64" s="182">
        <f t="shared" si="3"/>
        <v>20</v>
      </c>
      <c r="J64" s="276"/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6"/>
      <c r="AJ64" s="276"/>
      <c r="AK64" s="276"/>
      <c r="AL64" s="276"/>
      <c r="AM64" s="276"/>
      <c r="AN64" s="276"/>
      <c r="AO64" s="182">
        <f t="shared" si="4"/>
        <v>0</v>
      </c>
      <c r="AP64" s="182">
        <f t="shared" si="9"/>
        <v>20</v>
      </c>
      <c r="AQ64" s="182">
        <f t="shared" si="5"/>
        <v>0</v>
      </c>
      <c r="AR64" s="182">
        <f t="shared" si="6"/>
        <v>210</v>
      </c>
      <c r="AS64" s="182">
        <f t="shared" si="7"/>
        <v>0</v>
      </c>
      <c r="AT64" s="174"/>
      <c r="AU64" s="174"/>
      <c r="AV64" s="182">
        <f t="shared" si="8"/>
        <v>0</v>
      </c>
      <c r="AW64" s="179"/>
    </row>
    <row r="65" spans="2:49" s="149" customFormat="1">
      <c r="B65" s="278">
        <v>60</v>
      </c>
      <c r="C65" s="273" t="s">
        <v>247</v>
      </c>
      <c r="D65" s="273" t="s">
        <v>376</v>
      </c>
      <c r="E65" s="275" t="s">
        <v>10</v>
      </c>
      <c r="F65" s="271">
        <v>45</v>
      </c>
      <c r="G65" s="272">
        <v>5</v>
      </c>
      <c r="H65" s="272"/>
      <c r="I65" s="182">
        <f t="shared" si="3"/>
        <v>5</v>
      </c>
      <c r="J65" s="276"/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276"/>
      <c r="AO65" s="182">
        <f t="shared" si="4"/>
        <v>0</v>
      </c>
      <c r="AP65" s="182">
        <f t="shared" si="9"/>
        <v>5</v>
      </c>
      <c r="AQ65" s="182">
        <f t="shared" si="5"/>
        <v>0</v>
      </c>
      <c r="AR65" s="182">
        <f t="shared" si="6"/>
        <v>225</v>
      </c>
      <c r="AS65" s="182">
        <f t="shared" si="7"/>
        <v>0</v>
      </c>
      <c r="AT65" s="174"/>
      <c r="AU65" s="174"/>
      <c r="AV65" s="182">
        <f t="shared" si="8"/>
        <v>0</v>
      </c>
      <c r="AW65" s="179"/>
    </row>
    <row r="66" spans="2:49" s="149" customFormat="1">
      <c r="B66" s="278">
        <v>61</v>
      </c>
      <c r="C66" s="273" t="s">
        <v>322</v>
      </c>
      <c r="D66" s="273" t="s">
        <v>360</v>
      </c>
      <c r="E66" s="275" t="s">
        <v>10</v>
      </c>
      <c r="F66" s="271">
        <v>45</v>
      </c>
      <c r="G66" s="272">
        <v>0</v>
      </c>
      <c r="H66" s="272"/>
      <c r="I66" s="182">
        <f t="shared" si="3"/>
        <v>0</v>
      </c>
      <c r="J66" s="276"/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182">
        <f t="shared" si="4"/>
        <v>0</v>
      </c>
      <c r="AP66" s="182">
        <f t="shared" si="9"/>
        <v>0</v>
      </c>
      <c r="AQ66" s="182">
        <f t="shared" si="5"/>
        <v>0</v>
      </c>
      <c r="AR66" s="182">
        <f t="shared" si="6"/>
        <v>0</v>
      </c>
      <c r="AS66" s="182">
        <f t="shared" si="7"/>
        <v>0</v>
      </c>
      <c r="AT66" s="174"/>
      <c r="AU66" s="174"/>
      <c r="AV66" s="182">
        <f t="shared" si="8"/>
        <v>0</v>
      </c>
      <c r="AW66" s="179"/>
    </row>
    <row r="67" spans="2:49" s="149" customFormat="1">
      <c r="B67" s="278">
        <v>62</v>
      </c>
      <c r="C67" s="273" t="s">
        <v>323</v>
      </c>
      <c r="D67" s="273" t="s">
        <v>361</v>
      </c>
      <c r="E67" s="275" t="s">
        <v>10</v>
      </c>
      <c r="F67" s="271">
        <v>9</v>
      </c>
      <c r="G67" s="272">
        <v>4</v>
      </c>
      <c r="H67" s="272"/>
      <c r="I67" s="182">
        <f t="shared" si="3"/>
        <v>4</v>
      </c>
      <c r="J67" s="276"/>
      <c r="K67" s="276"/>
      <c r="L67" s="276"/>
      <c r="M67" s="276"/>
      <c r="N67" s="276"/>
      <c r="O67" s="276"/>
      <c r="P67" s="276"/>
      <c r="Q67" s="276"/>
      <c r="R67" s="276"/>
      <c r="S67" s="276"/>
      <c r="T67" s="276"/>
      <c r="U67" s="276"/>
      <c r="V67" s="276"/>
      <c r="W67" s="276"/>
      <c r="X67" s="276"/>
      <c r="Y67" s="276"/>
      <c r="Z67" s="276"/>
      <c r="AA67" s="276"/>
      <c r="AB67" s="276"/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182">
        <f t="shared" si="4"/>
        <v>0</v>
      </c>
      <c r="AP67" s="182">
        <f t="shared" si="9"/>
        <v>4</v>
      </c>
      <c r="AQ67" s="182">
        <f t="shared" si="5"/>
        <v>0</v>
      </c>
      <c r="AR67" s="182">
        <f t="shared" si="6"/>
        <v>36</v>
      </c>
      <c r="AS67" s="182">
        <f t="shared" si="7"/>
        <v>0</v>
      </c>
      <c r="AT67" s="174"/>
      <c r="AU67" s="174"/>
      <c r="AV67" s="182">
        <f t="shared" si="8"/>
        <v>0</v>
      </c>
      <c r="AW67" s="179"/>
    </row>
    <row r="68" spans="2:49" s="149" customFormat="1">
      <c r="B68" s="278">
        <v>63</v>
      </c>
      <c r="C68" s="273" t="s">
        <v>324</v>
      </c>
      <c r="D68" s="273" t="s">
        <v>360</v>
      </c>
      <c r="E68" s="275" t="s">
        <v>10</v>
      </c>
      <c r="F68" s="271">
        <v>240</v>
      </c>
      <c r="G68" s="272">
        <v>0</v>
      </c>
      <c r="H68" s="272"/>
      <c r="I68" s="182">
        <f t="shared" si="3"/>
        <v>0</v>
      </c>
      <c r="J68" s="276"/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  <c r="AG68" s="276"/>
      <c r="AH68" s="276"/>
      <c r="AI68" s="276"/>
      <c r="AJ68" s="276"/>
      <c r="AK68" s="276"/>
      <c r="AL68" s="276"/>
      <c r="AM68" s="276"/>
      <c r="AN68" s="276"/>
      <c r="AO68" s="182">
        <f t="shared" si="4"/>
        <v>0</v>
      </c>
      <c r="AP68" s="182">
        <f t="shared" si="9"/>
        <v>0</v>
      </c>
      <c r="AQ68" s="182">
        <f t="shared" si="5"/>
        <v>0</v>
      </c>
      <c r="AR68" s="182">
        <f t="shared" si="6"/>
        <v>0</v>
      </c>
      <c r="AS68" s="182">
        <f t="shared" si="7"/>
        <v>0</v>
      </c>
      <c r="AT68" s="174"/>
      <c r="AU68" s="174"/>
      <c r="AV68" s="182">
        <f t="shared" si="8"/>
        <v>0</v>
      </c>
      <c r="AW68" s="179"/>
    </row>
    <row r="69" spans="2:49" s="149" customFormat="1">
      <c r="B69" s="278">
        <v>64</v>
      </c>
      <c r="C69" s="273" t="s">
        <v>325</v>
      </c>
      <c r="D69" s="273" t="s">
        <v>377</v>
      </c>
      <c r="E69" s="275" t="s">
        <v>11</v>
      </c>
      <c r="F69" s="271">
        <v>30</v>
      </c>
      <c r="G69" s="272">
        <v>0</v>
      </c>
      <c r="H69" s="272"/>
      <c r="I69" s="182">
        <f t="shared" si="3"/>
        <v>0</v>
      </c>
      <c r="J69" s="276"/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276"/>
      <c r="AI69" s="276"/>
      <c r="AJ69" s="276"/>
      <c r="AK69" s="276"/>
      <c r="AL69" s="276"/>
      <c r="AM69" s="276"/>
      <c r="AN69" s="276"/>
      <c r="AO69" s="182">
        <f t="shared" si="4"/>
        <v>0</v>
      </c>
      <c r="AP69" s="182">
        <f t="shared" si="9"/>
        <v>0</v>
      </c>
      <c r="AQ69" s="182">
        <f t="shared" si="5"/>
        <v>0</v>
      </c>
      <c r="AR69" s="182">
        <f t="shared" si="6"/>
        <v>0</v>
      </c>
      <c r="AS69" s="182">
        <f t="shared" si="7"/>
        <v>0</v>
      </c>
      <c r="AT69" s="174"/>
      <c r="AU69" s="174"/>
      <c r="AV69" s="182">
        <f t="shared" si="8"/>
        <v>0</v>
      </c>
      <c r="AW69" s="179"/>
    </row>
    <row r="70" spans="2:49" s="149" customFormat="1">
      <c r="B70" s="278">
        <v>65</v>
      </c>
      <c r="C70" s="273" t="s">
        <v>326</v>
      </c>
      <c r="D70" s="273" t="s">
        <v>360</v>
      </c>
      <c r="E70" s="275" t="s">
        <v>10</v>
      </c>
      <c r="F70" s="271">
        <v>600</v>
      </c>
      <c r="G70" s="272">
        <v>0</v>
      </c>
      <c r="H70" s="272"/>
      <c r="I70" s="182">
        <f t="shared" si="3"/>
        <v>0</v>
      </c>
      <c r="J70" s="276"/>
      <c r="K70" s="276"/>
      <c r="L70" s="276"/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/>
      <c r="AA70" s="276"/>
      <c r="AB70" s="276"/>
      <c r="AC70" s="276"/>
      <c r="AD70" s="276"/>
      <c r="AE70" s="276"/>
      <c r="AF70" s="276"/>
      <c r="AG70" s="276"/>
      <c r="AH70" s="276"/>
      <c r="AI70" s="276"/>
      <c r="AJ70" s="276"/>
      <c r="AK70" s="276"/>
      <c r="AL70" s="276"/>
      <c r="AM70" s="276"/>
      <c r="AN70" s="276"/>
      <c r="AO70" s="182">
        <f t="shared" si="4"/>
        <v>0</v>
      </c>
      <c r="AP70" s="182">
        <f t="shared" si="9"/>
        <v>0</v>
      </c>
      <c r="AQ70" s="182">
        <f t="shared" si="5"/>
        <v>0</v>
      </c>
      <c r="AR70" s="182">
        <f t="shared" si="6"/>
        <v>0</v>
      </c>
      <c r="AS70" s="182">
        <f t="shared" si="7"/>
        <v>0</v>
      </c>
      <c r="AT70" s="174"/>
      <c r="AU70" s="174"/>
      <c r="AV70" s="182">
        <f t="shared" si="8"/>
        <v>0</v>
      </c>
      <c r="AW70" s="179"/>
    </row>
    <row r="71" spans="2:49" s="149" customFormat="1">
      <c r="B71" s="278">
        <v>66</v>
      </c>
      <c r="C71" s="273" t="s">
        <v>327</v>
      </c>
      <c r="D71" s="273" t="s">
        <v>378</v>
      </c>
      <c r="E71" s="275" t="s">
        <v>10</v>
      </c>
      <c r="F71" s="271">
        <v>45</v>
      </c>
      <c r="G71" s="272">
        <v>0</v>
      </c>
      <c r="H71" s="272"/>
      <c r="I71" s="182">
        <f t="shared" si="3"/>
        <v>0</v>
      </c>
      <c r="J71" s="276"/>
      <c r="K71" s="276"/>
      <c r="L71" s="276"/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/>
      <c r="AA71" s="276"/>
      <c r="AB71" s="276"/>
      <c r="AC71" s="276"/>
      <c r="AD71" s="276"/>
      <c r="AE71" s="276"/>
      <c r="AF71" s="276"/>
      <c r="AG71" s="276"/>
      <c r="AH71" s="276"/>
      <c r="AI71" s="276"/>
      <c r="AJ71" s="276"/>
      <c r="AK71" s="276"/>
      <c r="AL71" s="276"/>
      <c r="AM71" s="276"/>
      <c r="AN71" s="276"/>
      <c r="AO71" s="182">
        <f t="shared" si="4"/>
        <v>0</v>
      </c>
      <c r="AP71" s="182">
        <f t="shared" si="9"/>
        <v>0</v>
      </c>
      <c r="AQ71" s="182">
        <f t="shared" si="5"/>
        <v>0</v>
      </c>
      <c r="AR71" s="182">
        <f t="shared" si="6"/>
        <v>0</v>
      </c>
      <c r="AS71" s="182">
        <f t="shared" si="7"/>
        <v>0</v>
      </c>
      <c r="AT71" s="174"/>
      <c r="AU71" s="174"/>
      <c r="AV71" s="182">
        <f t="shared" si="8"/>
        <v>0</v>
      </c>
      <c r="AW71" s="179"/>
    </row>
    <row r="72" spans="2:49" s="149" customFormat="1">
      <c r="B72" s="278">
        <v>67</v>
      </c>
      <c r="C72" s="273" t="s">
        <v>68</v>
      </c>
      <c r="D72" s="273" t="s">
        <v>360</v>
      </c>
      <c r="E72" s="275" t="s">
        <v>10</v>
      </c>
      <c r="F72" s="271">
        <v>200</v>
      </c>
      <c r="G72" s="272">
        <v>0</v>
      </c>
      <c r="H72" s="272"/>
      <c r="I72" s="182">
        <f t="shared" si="3"/>
        <v>0</v>
      </c>
      <c r="J72" s="276"/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276"/>
      <c r="AI72" s="276"/>
      <c r="AJ72" s="276"/>
      <c r="AK72" s="276"/>
      <c r="AL72" s="276"/>
      <c r="AM72" s="276"/>
      <c r="AN72" s="276"/>
      <c r="AO72" s="182">
        <f t="shared" si="4"/>
        <v>0</v>
      </c>
      <c r="AP72" s="182">
        <f t="shared" si="9"/>
        <v>0</v>
      </c>
      <c r="AQ72" s="182">
        <f t="shared" si="5"/>
        <v>0</v>
      </c>
      <c r="AR72" s="182">
        <f t="shared" si="6"/>
        <v>0</v>
      </c>
      <c r="AS72" s="182">
        <f t="shared" si="7"/>
        <v>0</v>
      </c>
      <c r="AT72" s="174"/>
      <c r="AU72" s="174"/>
      <c r="AV72" s="182">
        <f t="shared" si="8"/>
        <v>0</v>
      </c>
      <c r="AW72" s="179"/>
    </row>
    <row r="73" spans="2:49" s="149" customFormat="1">
      <c r="B73" s="278">
        <v>68</v>
      </c>
      <c r="C73" s="273" t="s">
        <v>328</v>
      </c>
      <c r="D73" s="273" t="s">
        <v>379</v>
      </c>
      <c r="E73" s="275" t="s">
        <v>10</v>
      </c>
      <c r="F73" s="271">
        <v>245</v>
      </c>
      <c r="G73" s="272">
        <v>0</v>
      </c>
      <c r="H73" s="272"/>
      <c r="I73" s="182">
        <f t="shared" ref="I73:I117" si="17">G73+H73</f>
        <v>0</v>
      </c>
      <c r="J73" s="276"/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276"/>
      <c r="AI73" s="276"/>
      <c r="AJ73" s="276"/>
      <c r="AK73" s="276"/>
      <c r="AL73" s="276"/>
      <c r="AM73" s="276"/>
      <c r="AN73" s="276"/>
      <c r="AO73" s="182">
        <f t="shared" ref="AO73:AO108" si="18">SUM(J73:AN73)</f>
        <v>0</v>
      </c>
      <c r="AP73" s="182">
        <f t="shared" ref="AP73:AP108" si="19">I73-AO73</f>
        <v>0</v>
      </c>
      <c r="AQ73" s="182">
        <f t="shared" ref="AQ73:AQ108" si="20">AO73*F73</f>
        <v>0</v>
      </c>
      <c r="AR73" s="182">
        <f t="shared" ref="AR73:AR108" si="21">AP73*F73</f>
        <v>0</v>
      </c>
      <c r="AS73" s="182">
        <f t="shared" ref="AS73:AS108" si="22">H73*F73</f>
        <v>0</v>
      </c>
      <c r="AT73" s="174"/>
      <c r="AU73" s="174"/>
      <c r="AV73" s="182">
        <f t="shared" ref="AV73:AV108" si="23">AS73*SUM(AT73:AU73)%+AS73</f>
        <v>0</v>
      </c>
      <c r="AW73" s="179"/>
    </row>
    <row r="74" spans="2:49" s="149" customFormat="1">
      <c r="B74" s="278">
        <v>69</v>
      </c>
      <c r="C74" s="273" t="s">
        <v>329</v>
      </c>
      <c r="D74" s="273" t="s">
        <v>360</v>
      </c>
      <c r="E74" s="275" t="s">
        <v>43</v>
      </c>
      <c r="F74" s="271">
        <v>75</v>
      </c>
      <c r="G74" s="272">
        <v>3</v>
      </c>
      <c r="H74" s="272"/>
      <c r="I74" s="182">
        <f t="shared" si="17"/>
        <v>3</v>
      </c>
      <c r="J74" s="276"/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  <c r="AO74" s="182">
        <f t="shared" si="18"/>
        <v>0</v>
      </c>
      <c r="AP74" s="182">
        <f t="shared" si="19"/>
        <v>3</v>
      </c>
      <c r="AQ74" s="182">
        <f t="shared" si="20"/>
        <v>0</v>
      </c>
      <c r="AR74" s="182">
        <f t="shared" si="21"/>
        <v>225</v>
      </c>
      <c r="AS74" s="182">
        <f t="shared" si="22"/>
        <v>0</v>
      </c>
      <c r="AT74" s="174"/>
      <c r="AU74" s="174"/>
      <c r="AV74" s="182">
        <f t="shared" si="23"/>
        <v>0</v>
      </c>
      <c r="AW74" s="179"/>
    </row>
    <row r="75" spans="2:49" s="149" customFormat="1">
      <c r="B75" s="278">
        <v>70</v>
      </c>
      <c r="C75" s="280" t="s">
        <v>436</v>
      </c>
      <c r="D75" s="273" t="s">
        <v>360</v>
      </c>
      <c r="E75" s="275" t="s">
        <v>10</v>
      </c>
      <c r="F75" s="271">
        <v>1.5</v>
      </c>
      <c r="G75" s="272">
        <v>0</v>
      </c>
      <c r="H75" s="272"/>
      <c r="I75" s="182">
        <f t="shared" si="17"/>
        <v>0</v>
      </c>
      <c r="J75" s="276"/>
      <c r="K75" s="276"/>
      <c r="L75" s="276"/>
      <c r="M75" s="276"/>
      <c r="N75" s="276"/>
      <c r="O75" s="276"/>
      <c r="P75" s="276"/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  <c r="AG75" s="276"/>
      <c r="AH75" s="276"/>
      <c r="AI75" s="276"/>
      <c r="AJ75" s="276"/>
      <c r="AK75" s="276"/>
      <c r="AL75" s="276"/>
      <c r="AM75" s="276"/>
      <c r="AN75" s="276"/>
      <c r="AO75" s="182">
        <f t="shared" si="18"/>
        <v>0</v>
      </c>
      <c r="AP75" s="182">
        <f t="shared" si="19"/>
        <v>0</v>
      </c>
      <c r="AQ75" s="182">
        <f t="shared" si="20"/>
        <v>0</v>
      </c>
      <c r="AR75" s="182">
        <f t="shared" si="21"/>
        <v>0</v>
      </c>
      <c r="AS75" s="182">
        <f t="shared" si="22"/>
        <v>0</v>
      </c>
      <c r="AT75" s="174"/>
      <c r="AU75" s="174"/>
      <c r="AV75" s="182">
        <f t="shared" si="23"/>
        <v>0</v>
      </c>
      <c r="AW75" s="179"/>
    </row>
    <row r="76" spans="2:49" s="149" customFormat="1">
      <c r="B76" s="278">
        <v>71</v>
      </c>
      <c r="C76" s="273" t="s">
        <v>47</v>
      </c>
      <c r="D76" s="273" t="s">
        <v>360</v>
      </c>
      <c r="E76" s="275" t="s">
        <v>10</v>
      </c>
      <c r="F76" s="271">
        <v>4.5</v>
      </c>
      <c r="G76" s="272">
        <v>43</v>
      </c>
      <c r="H76" s="272"/>
      <c r="I76" s="182">
        <f t="shared" si="17"/>
        <v>43</v>
      </c>
      <c r="J76" s="276"/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6"/>
      <c r="AL76" s="276"/>
      <c r="AM76" s="276"/>
      <c r="AN76" s="276"/>
      <c r="AO76" s="182">
        <f t="shared" si="18"/>
        <v>0</v>
      </c>
      <c r="AP76" s="182">
        <f t="shared" si="19"/>
        <v>43</v>
      </c>
      <c r="AQ76" s="182">
        <f t="shared" si="20"/>
        <v>0</v>
      </c>
      <c r="AR76" s="182">
        <f t="shared" si="21"/>
        <v>193.5</v>
      </c>
      <c r="AS76" s="182">
        <f t="shared" si="22"/>
        <v>0</v>
      </c>
      <c r="AT76" s="174"/>
      <c r="AU76" s="174"/>
      <c r="AV76" s="182">
        <f t="shared" si="23"/>
        <v>0</v>
      </c>
      <c r="AW76" s="179"/>
    </row>
    <row r="77" spans="2:49" s="149" customFormat="1">
      <c r="B77" s="278">
        <v>72</v>
      </c>
      <c r="C77" s="273" t="s">
        <v>48</v>
      </c>
      <c r="D77" s="273" t="s">
        <v>380</v>
      </c>
      <c r="E77" s="275" t="s">
        <v>10</v>
      </c>
      <c r="F77" s="271">
        <v>17</v>
      </c>
      <c r="G77" s="272">
        <v>3</v>
      </c>
      <c r="H77" s="272"/>
      <c r="I77" s="182">
        <f t="shared" si="17"/>
        <v>3</v>
      </c>
      <c r="J77" s="276"/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  <c r="AG77" s="276"/>
      <c r="AH77" s="276"/>
      <c r="AI77" s="276"/>
      <c r="AJ77" s="276"/>
      <c r="AK77" s="276"/>
      <c r="AL77" s="276"/>
      <c r="AM77" s="276"/>
      <c r="AN77" s="276"/>
      <c r="AO77" s="182">
        <f t="shared" si="18"/>
        <v>0</v>
      </c>
      <c r="AP77" s="182">
        <f t="shared" si="19"/>
        <v>3</v>
      </c>
      <c r="AQ77" s="182">
        <f t="shared" si="20"/>
        <v>0</v>
      </c>
      <c r="AR77" s="182">
        <f t="shared" si="21"/>
        <v>51</v>
      </c>
      <c r="AS77" s="182">
        <f t="shared" si="22"/>
        <v>0</v>
      </c>
      <c r="AT77" s="174"/>
      <c r="AU77" s="174"/>
      <c r="AV77" s="182">
        <f t="shared" si="23"/>
        <v>0</v>
      </c>
      <c r="AW77" s="179"/>
    </row>
    <row r="78" spans="2:49" s="149" customFormat="1">
      <c r="B78" s="278">
        <v>73</v>
      </c>
      <c r="C78" s="273" t="s">
        <v>330</v>
      </c>
      <c r="D78" s="273" t="s">
        <v>360</v>
      </c>
      <c r="E78" s="275" t="s">
        <v>10</v>
      </c>
      <c r="F78" s="271">
        <v>550</v>
      </c>
      <c r="G78" s="272">
        <v>0</v>
      </c>
      <c r="H78" s="272"/>
      <c r="I78" s="182">
        <f t="shared" si="17"/>
        <v>0</v>
      </c>
      <c r="J78" s="276"/>
      <c r="K78" s="276"/>
      <c r="L78" s="276"/>
      <c r="M78" s="276"/>
      <c r="N78" s="276"/>
      <c r="O78" s="276"/>
      <c r="P78" s="276"/>
      <c r="Q78" s="276"/>
      <c r="R78" s="276"/>
      <c r="S78" s="276"/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K78" s="276"/>
      <c r="AL78" s="276"/>
      <c r="AM78" s="276"/>
      <c r="AN78" s="276"/>
      <c r="AO78" s="182">
        <f t="shared" si="18"/>
        <v>0</v>
      </c>
      <c r="AP78" s="182">
        <f t="shared" si="19"/>
        <v>0</v>
      </c>
      <c r="AQ78" s="182">
        <f t="shared" si="20"/>
        <v>0</v>
      </c>
      <c r="AR78" s="182">
        <f t="shared" si="21"/>
        <v>0</v>
      </c>
      <c r="AS78" s="182">
        <f t="shared" si="22"/>
        <v>0</v>
      </c>
      <c r="AT78" s="174"/>
      <c r="AU78" s="174"/>
      <c r="AV78" s="182">
        <f t="shared" si="23"/>
        <v>0</v>
      </c>
      <c r="AW78" s="179"/>
    </row>
    <row r="79" spans="2:49" s="149" customFormat="1">
      <c r="B79" s="278">
        <v>74</v>
      </c>
      <c r="C79" s="273" t="s">
        <v>331</v>
      </c>
      <c r="D79" s="273" t="s">
        <v>373</v>
      </c>
      <c r="E79" s="275" t="s">
        <v>10</v>
      </c>
      <c r="F79" s="271">
        <v>0.9</v>
      </c>
      <c r="G79" s="272">
        <v>0</v>
      </c>
      <c r="H79" s="272"/>
      <c r="I79" s="182">
        <f t="shared" si="17"/>
        <v>0</v>
      </c>
      <c r="J79" s="276"/>
      <c r="K79" s="276"/>
      <c r="L79" s="276"/>
      <c r="M79" s="276"/>
      <c r="N79" s="276"/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276"/>
      <c r="AI79" s="276"/>
      <c r="AJ79" s="276"/>
      <c r="AK79" s="276"/>
      <c r="AL79" s="276"/>
      <c r="AM79" s="276"/>
      <c r="AN79" s="276"/>
      <c r="AO79" s="182">
        <f t="shared" si="18"/>
        <v>0</v>
      </c>
      <c r="AP79" s="182">
        <f t="shared" si="19"/>
        <v>0</v>
      </c>
      <c r="AQ79" s="182">
        <f t="shared" si="20"/>
        <v>0</v>
      </c>
      <c r="AR79" s="182">
        <f t="shared" si="21"/>
        <v>0</v>
      </c>
      <c r="AS79" s="182">
        <f t="shared" si="22"/>
        <v>0</v>
      </c>
      <c r="AT79" s="174"/>
      <c r="AU79" s="174"/>
      <c r="AV79" s="182">
        <f t="shared" si="23"/>
        <v>0</v>
      </c>
      <c r="AW79" s="179"/>
    </row>
    <row r="80" spans="2:49" s="149" customFormat="1">
      <c r="B80" s="278">
        <v>75</v>
      </c>
      <c r="C80" s="280" t="s">
        <v>452</v>
      </c>
      <c r="D80" s="273" t="s">
        <v>360</v>
      </c>
      <c r="E80" s="275" t="s">
        <v>12</v>
      </c>
      <c r="F80" s="271">
        <v>38</v>
      </c>
      <c r="G80" s="272">
        <v>3</v>
      </c>
      <c r="H80" s="272">
        <v>20</v>
      </c>
      <c r="I80" s="182">
        <f t="shared" si="17"/>
        <v>23</v>
      </c>
      <c r="J80" s="276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182">
        <f t="shared" si="18"/>
        <v>0</v>
      </c>
      <c r="AP80" s="182">
        <f t="shared" si="19"/>
        <v>23</v>
      </c>
      <c r="AQ80" s="182">
        <f t="shared" si="20"/>
        <v>0</v>
      </c>
      <c r="AR80" s="182">
        <f t="shared" si="21"/>
        <v>874</v>
      </c>
      <c r="AS80" s="182">
        <f t="shared" si="22"/>
        <v>760</v>
      </c>
      <c r="AT80" s="174"/>
      <c r="AU80" s="174"/>
      <c r="AV80" s="182">
        <f t="shared" si="23"/>
        <v>760</v>
      </c>
      <c r="AW80" s="179"/>
    </row>
    <row r="81" spans="2:49" s="149" customFormat="1">
      <c r="B81" s="278">
        <v>76</v>
      </c>
      <c r="C81" s="280" t="s">
        <v>453</v>
      </c>
      <c r="D81" s="280" t="s">
        <v>454</v>
      </c>
      <c r="E81" s="275" t="s">
        <v>10</v>
      </c>
      <c r="F81" s="271">
        <v>38</v>
      </c>
      <c r="G81" s="272">
        <v>19</v>
      </c>
      <c r="H81" s="272"/>
      <c r="I81" s="182">
        <f t="shared" si="17"/>
        <v>19</v>
      </c>
      <c r="J81" s="276"/>
      <c r="K81" s="276"/>
      <c r="L81" s="276"/>
      <c r="M81" s="276"/>
      <c r="N81" s="276"/>
      <c r="O81" s="276"/>
      <c r="P81" s="276"/>
      <c r="Q81" s="276"/>
      <c r="R81" s="276"/>
      <c r="S81" s="276"/>
      <c r="T81" s="276"/>
      <c r="U81" s="276"/>
      <c r="V81" s="276"/>
      <c r="W81" s="276"/>
      <c r="X81" s="276"/>
      <c r="Y81" s="276"/>
      <c r="Z81" s="276"/>
      <c r="AA81" s="276"/>
      <c r="AB81" s="276"/>
      <c r="AC81" s="276"/>
      <c r="AD81" s="276"/>
      <c r="AE81" s="276"/>
      <c r="AF81" s="276"/>
      <c r="AG81" s="276"/>
      <c r="AH81" s="276"/>
      <c r="AI81" s="276"/>
      <c r="AJ81" s="276"/>
      <c r="AK81" s="276"/>
      <c r="AL81" s="276"/>
      <c r="AM81" s="276"/>
      <c r="AN81" s="276"/>
      <c r="AO81" s="182">
        <f t="shared" si="18"/>
        <v>0</v>
      </c>
      <c r="AP81" s="182">
        <f t="shared" si="19"/>
        <v>19</v>
      </c>
      <c r="AQ81" s="182">
        <f t="shared" si="20"/>
        <v>0</v>
      </c>
      <c r="AR81" s="182">
        <f t="shared" si="21"/>
        <v>722</v>
      </c>
      <c r="AS81" s="182">
        <f t="shared" si="22"/>
        <v>0</v>
      </c>
      <c r="AT81" s="174"/>
      <c r="AU81" s="174"/>
      <c r="AV81" s="182">
        <f t="shared" si="23"/>
        <v>0</v>
      </c>
      <c r="AW81" s="179"/>
    </row>
    <row r="82" spans="2:49" s="149" customFormat="1">
      <c r="B82" s="278">
        <v>77</v>
      </c>
      <c r="C82" s="273" t="s">
        <v>332</v>
      </c>
      <c r="D82" s="273" t="s">
        <v>373</v>
      </c>
      <c r="E82" s="275" t="s">
        <v>49</v>
      </c>
      <c r="F82" s="271">
        <v>150</v>
      </c>
      <c r="G82" s="272">
        <v>0</v>
      </c>
      <c r="H82" s="272"/>
      <c r="I82" s="182">
        <f t="shared" si="17"/>
        <v>0</v>
      </c>
      <c r="J82" s="276"/>
      <c r="K82" s="276"/>
      <c r="L82" s="276"/>
      <c r="M82" s="276"/>
      <c r="N82" s="276"/>
      <c r="O82" s="276"/>
      <c r="P82" s="276"/>
      <c r="Q82" s="276"/>
      <c r="R82" s="276"/>
      <c r="S82" s="276"/>
      <c r="T82" s="276"/>
      <c r="U82" s="276"/>
      <c r="V82" s="276"/>
      <c r="W82" s="276"/>
      <c r="X82" s="276"/>
      <c r="Y82" s="276"/>
      <c r="Z82" s="276"/>
      <c r="AA82" s="276"/>
      <c r="AB82" s="276"/>
      <c r="AC82" s="276"/>
      <c r="AD82" s="276"/>
      <c r="AE82" s="276"/>
      <c r="AF82" s="276"/>
      <c r="AG82" s="276"/>
      <c r="AH82" s="276"/>
      <c r="AI82" s="276"/>
      <c r="AJ82" s="276"/>
      <c r="AK82" s="276"/>
      <c r="AL82" s="276"/>
      <c r="AM82" s="276"/>
      <c r="AN82" s="276"/>
      <c r="AO82" s="182">
        <f t="shared" si="18"/>
        <v>0</v>
      </c>
      <c r="AP82" s="182">
        <f t="shared" si="19"/>
        <v>0</v>
      </c>
      <c r="AQ82" s="182">
        <f t="shared" si="20"/>
        <v>0</v>
      </c>
      <c r="AR82" s="182">
        <f t="shared" si="21"/>
        <v>0</v>
      </c>
      <c r="AS82" s="182">
        <f t="shared" si="22"/>
        <v>0</v>
      </c>
      <c r="AT82" s="174"/>
      <c r="AU82" s="174"/>
      <c r="AV82" s="182">
        <f t="shared" si="23"/>
        <v>0</v>
      </c>
      <c r="AW82" s="179"/>
    </row>
    <row r="83" spans="2:49" s="149" customFormat="1">
      <c r="B83" s="278">
        <v>78</v>
      </c>
      <c r="C83" s="273" t="s">
        <v>69</v>
      </c>
      <c r="D83" s="273" t="s">
        <v>369</v>
      </c>
      <c r="E83" s="275" t="s">
        <v>32</v>
      </c>
      <c r="F83" s="271">
        <v>35</v>
      </c>
      <c r="G83" s="272">
        <v>4</v>
      </c>
      <c r="H83" s="272"/>
      <c r="I83" s="182">
        <f t="shared" si="17"/>
        <v>4</v>
      </c>
      <c r="J83" s="276"/>
      <c r="K83" s="276">
        <v>1</v>
      </c>
      <c r="L83" s="276"/>
      <c r="M83" s="276"/>
      <c r="N83" s="276"/>
      <c r="O83" s="276"/>
      <c r="P83" s="276"/>
      <c r="Q83" s="276"/>
      <c r="R83" s="276"/>
      <c r="S83" s="276"/>
      <c r="T83" s="276"/>
      <c r="U83" s="276"/>
      <c r="V83" s="276"/>
      <c r="W83" s="276"/>
      <c r="X83" s="276"/>
      <c r="Y83" s="276"/>
      <c r="Z83" s="276"/>
      <c r="AA83" s="276"/>
      <c r="AB83" s="276"/>
      <c r="AC83" s="276"/>
      <c r="AD83" s="276"/>
      <c r="AE83" s="276"/>
      <c r="AF83" s="276"/>
      <c r="AG83" s="276"/>
      <c r="AH83" s="276"/>
      <c r="AI83" s="276"/>
      <c r="AJ83" s="276"/>
      <c r="AK83" s="276"/>
      <c r="AL83" s="276"/>
      <c r="AM83" s="276"/>
      <c r="AN83" s="276"/>
      <c r="AO83" s="182">
        <f t="shared" si="18"/>
        <v>1</v>
      </c>
      <c r="AP83" s="182">
        <f t="shared" si="19"/>
        <v>3</v>
      </c>
      <c r="AQ83" s="182">
        <f t="shared" si="20"/>
        <v>35</v>
      </c>
      <c r="AR83" s="182">
        <f t="shared" si="21"/>
        <v>105</v>
      </c>
      <c r="AS83" s="182">
        <f t="shared" si="22"/>
        <v>0</v>
      </c>
      <c r="AT83" s="174"/>
      <c r="AU83" s="174"/>
      <c r="AV83" s="182">
        <f t="shared" si="23"/>
        <v>0</v>
      </c>
      <c r="AW83" s="179"/>
    </row>
    <row r="84" spans="2:49" s="149" customFormat="1">
      <c r="B84" s="278">
        <v>79</v>
      </c>
      <c r="C84" s="273" t="s">
        <v>333</v>
      </c>
      <c r="D84" s="273" t="s">
        <v>360</v>
      </c>
      <c r="E84" s="275" t="s">
        <v>10</v>
      </c>
      <c r="F84" s="271">
        <v>800</v>
      </c>
      <c r="G84" s="272">
        <v>0</v>
      </c>
      <c r="H84" s="272"/>
      <c r="I84" s="182">
        <f t="shared" si="17"/>
        <v>0</v>
      </c>
      <c r="J84" s="276"/>
      <c r="K84" s="276"/>
      <c r="L84" s="276"/>
      <c r="M84" s="276"/>
      <c r="N84" s="276"/>
      <c r="O84" s="276"/>
      <c r="P84" s="276"/>
      <c r="Q84" s="276"/>
      <c r="R84" s="276"/>
      <c r="S84" s="276"/>
      <c r="T84" s="276"/>
      <c r="U84" s="276"/>
      <c r="V84" s="276"/>
      <c r="W84" s="276"/>
      <c r="X84" s="276"/>
      <c r="Y84" s="276"/>
      <c r="Z84" s="276"/>
      <c r="AA84" s="276"/>
      <c r="AB84" s="276"/>
      <c r="AC84" s="276"/>
      <c r="AD84" s="276"/>
      <c r="AE84" s="276"/>
      <c r="AF84" s="276"/>
      <c r="AG84" s="276"/>
      <c r="AH84" s="276"/>
      <c r="AI84" s="276"/>
      <c r="AJ84" s="276"/>
      <c r="AK84" s="276"/>
      <c r="AL84" s="276"/>
      <c r="AM84" s="276"/>
      <c r="AN84" s="276"/>
      <c r="AO84" s="182">
        <f t="shared" si="18"/>
        <v>0</v>
      </c>
      <c r="AP84" s="182">
        <f t="shared" si="19"/>
        <v>0</v>
      </c>
      <c r="AQ84" s="182">
        <f t="shared" si="20"/>
        <v>0</v>
      </c>
      <c r="AR84" s="182">
        <f t="shared" si="21"/>
        <v>0</v>
      </c>
      <c r="AS84" s="182">
        <f t="shared" si="22"/>
        <v>0</v>
      </c>
      <c r="AT84" s="174"/>
      <c r="AU84" s="174"/>
      <c r="AV84" s="182">
        <f t="shared" si="23"/>
        <v>0</v>
      </c>
      <c r="AW84" s="179"/>
    </row>
    <row r="85" spans="2:49" s="149" customFormat="1">
      <c r="B85" s="278">
        <v>80</v>
      </c>
      <c r="C85" s="273" t="s">
        <v>334</v>
      </c>
      <c r="D85" s="273" t="s">
        <v>360</v>
      </c>
      <c r="E85" s="275" t="s">
        <v>10</v>
      </c>
      <c r="F85" s="271">
        <v>28</v>
      </c>
      <c r="G85" s="272">
        <v>0</v>
      </c>
      <c r="H85" s="272"/>
      <c r="I85" s="182">
        <f t="shared" si="17"/>
        <v>0</v>
      </c>
      <c r="J85" s="276"/>
      <c r="K85" s="276"/>
      <c r="L85" s="276"/>
      <c r="M85" s="276"/>
      <c r="N85" s="276"/>
      <c r="O85" s="276"/>
      <c r="P85" s="276"/>
      <c r="Q85" s="276"/>
      <c r="R85" s="276"/>
      <c r="S85" s="276"/>
      <c r="T85" s="276"/>
      <c r="U85" s="276"/>
      <c r="V85" s="276"/>
      <c r="W85" s="276"/>
      <c r="X85" s="276"/>
      <c r="Y85" s="276"/>
      <c r="Z85" s="276"/>
      <c r="AA85" s="276"/>
      <c r="AB85" s="276"/>
      <c r="AC85" s="276"/>
      <c r="AD85" s="276"/>
      <c r="AE85" s="276"/>
      <c r="AF85" s="276"/>
      <c r="AG85" s="276"/>
      <c r="AH85" s="276"/>
      <c r="AI85" s="276"/>
      <c r="AJ85" s="276"/>
      <c r="AK85" s="276"/>
      <c r="AL85" s="276"/>
      <c r="AM85" s="276"/>
      <c r="AN85" s="276"/>
      <c r="AO85" s="182">
        <f t="shared" si="18"/>
        <v>0</v>
      </c>
      <c r="AP85" s="182">
        <f t="shared" si="19"/>
        <v>0</v>
      </c>
      <c r="AQ85" s="182">
        <f t="shared" si="20"/>
        <v>0</v>
      </c>
      <c r="AR85" s="182">
        <f t="shared" si="21"/>
        <v>0</v>
      </c>
      <c r="AS85" s="182">
        <f t="shared" si="22"/>
        <v>0</v>
      </c>
      <c r="AT85" s="174"/>
      <c r="AU85" s="174"/>
      <c r="AV85" s="182">
        <f t="shared" si="23"/>
        <v>0</v>
      </c>
      <c r="AW85" s="179"/>
    </row>
    <row r="86" spans="2:49" s="149" customFormat="1">
      <c r="B86" s="278">
        <v>81</v>
      </c>
      <c r="C86" s="273" t="s">
        <v>335</v>
      </c>
      <c r="D86" s="273" t="s">
        <v>360</v>
      </c>
      <c r="E86" s="275" t="s">
        <v>10</v>
      </c>
      <c r="F86" s="271">
        <v>5.5</v>
      </c>
      <c r="G86" s="272">
        <v>5</v>
      </c>
      <c r="H86" s="272"/>
      <c r="I86" s="182">
        <f t="shared" si="17"/>
        <v>5</v>
      </c>
      <c r="J86" s="276"/>
      <c r="K86" s="276"/>
      <c r="L86" s="276"/>
      <c r="M86" s="276"/>
      <c r="N86" s="276"/>
      <c r="O86" s="276"/>
      <c r="P86" s="276"/>
      <c r="Q86" s="276"/>
      <c r="R86" s="276"/>
      <c r="S86" s="276"/>
      <c r="T86" s="276"/>
      <c r="U86" s="276"/>
      <c r="V86" s="276"/>
      <c r="W86" s="276"/>
      <c r="X86" s="276"/>
      <c r="Y86" s="276"/>
      <c r="Z86" s="276"/>
      <c r="AA86" s="276"/>
      <c r="AB86" s="276"/>
      <c r="AC86" s="276"/>
      <c r="AD86" s="276"/>
      <c r="AE86" s="276"/>
      <c r="AF86" s="276"/>
      <c r="AG86" s="276"/>
      <c r="AH86" s="276"/>
      <c r="AI86" s="276"/>
      <c r="AJ86" s="276"/>
      <c r="AK86" s="276"/>
      <c r="AL86" s="276"/>
      <c r="AM86" s="276"/>
      <c r="AN86" s="276"/>
      <c r="AO86" s="182">
        <f t="shared" si="18"/>
        <v>0</v>
      </c>
      <c r="AP86" s="182">
        <f t="shared" si="19"/>
        <v>5</v>
      </c>
      <c r="AQ86" s="182">
        <f t="shared" si="20"/>
        <v>0</v>
      </c>
      <c r="AR86" s="182">
        <f t="shared" si="21"/>
        <v>27.5</v>
      </c>
      <c r="AS86" s="182">
        <f t="shared" si="22"/>
        <v>0</v>
      </c>
      <c r="AT86" s="174"/>
      <c r="AU86" s="174"/>
      <c r="AV86" s="182">
        <f t="shared" si="23"/>
        <v>0</v>
      </c>
      <c r="AW86" s="179"/>
    </row>
    <row r="87" spans="2:49" s="149" customFormat="1">
      <c r="B87" s="278">
        <v>82</v>
      </c>
      <c r="C87" s="273" t="s">
        <v>336</v>
      </c>
      <c r="D87" s="273" t="s">
        <v>360</v>
      </c>
      <c r="E87" s="275" t="s">
        <v>10</v>
      </c>
      <c r="F87" s="271">
        <v>20</v>
      </c>
      <c r="G87" s="272">
        <v>0</v>
      </c>
      <c r="H87" s="272"/>
      <c r="I87" s="182">
        <f t="shared" si="17"/>
        <v>0</v>
      </c>
      <c r="J87" s="276"/>
      <c r="K87" s="276"/>
      <c r="L87" s="276"/>
      <c r="M87" s="276"/>
      <c r="N87" s="276"/>
      <c r="O87" s="276"/>
      <c r="P87" s="276"/>
      <c r="Q87" s="276"/>
      <c r="R87" s="276"/>
      <c r="S87" s="276"/>
      <c r="T87" s="276"/>
      <c r="U87" s="276"/>
      <c r="V87" s="276"/>
      <c r="W87" s="276"/>
      <c r="X87" s="276"/>
      <c r="Y87" s="276"/>
      <c r="Z87" s="276"/>
      <c r="AA87" s="276"/>
      <c r="AB87" s="276"/>
      <c r="AC87" s="276"/>
      <c r="AD87" s="276"/>
      <c r="AE87" s="276"/>
      <c r="AF87" s="276"/>
      <c r="AG87" s="276"/>
      <c r="AH87" s="276"/>
      <c r="AI87" s="276"/>
      <c r="AJ87" s="276"/>
      <c r="AK87" s="276"/>
      <c r="AL87" s="276"/>
      <c r="AM87" s="276"/>
      <c r="AN87" s="276"/>
      <c r="AO87" s="182">
        <f t="shared" si="18"/>
        <v>0</v>
      </c>
      <c r="AP87" s="182">
        <f t="shared" si="19"/>
        <v>0</v>
      </c>
      <c r="AQ87" s="182">
        <f t="shared" si="20"/>
        <v>0</v>
      </c>
      <c r="AR87" s="182">
        <f t="shared" si="21"/>
        <v>0</v>
      </c>
      <c r="AS87" s="182">
        <f t="shared" si="22"/>
        <v>0</v>
      </c>
      <c r="AT87" s="174"/>
      <c r="AU87" s="174"/>
      <c r="AV87" s="182">
        <f t="shared" si="23"/>
        <v>0</v>
      </c>
      <c r="AW87" s="179"/>
    </row>
    <row r="88" spans="2:49" s="149" customFormat="1">
      <c r="B88" s="278">
        <v>83</v>
      </c>
      <c r="C88" s="273" t="s">
        <v>337</v>
      </c>
      <c r="D88" s="273" t="s">
        <v>360</v>
      </c>
      <c r="E88" s="275" t="s">
        <v>10</v>
      </c>
      <c r="F88" s="271">
        <v>95</v>
      </c>
      <c r="G88" s="272">
        <v>0</v>
      </c>
      <c r="H88" s="272"/>
      <c r="I88" s="182">
        <f t="shared" si="17"/>
        <v>0</v>
      </c>
      <c r="J88" s="276"/>
      <c r="K88" s="276"/>
      <c r="L88" s="276"/>
      <c r="M88" s="276"/>
      <c r="N88" s="276"/>
      <c r="O88" s="276"/>
      <c r="P88" s="276"/>
      <c r="Q88" s="276"/>
      <c r="R88" s="276"/>
      <c r="S88" s="276"/>
      <c r="T88" s="276"/>
      <c r="U88" s="276"/>
      <c r="V88" s="276"/>
      <c r="W88" s="276"/>
      <c r="X88" s="276"/>
      <c r="Y88" s="276"/>
      <c r="Z88" s="276"/>
      <c r="AA88" s="276"/>
      <c r="AB88" s="276"/>
      <c r="AC88" s="276"/>
      <c r="AD88" s="276"/>
      <c r="AE88" s="276"/>
      <c r="AF88" s="276"/>
      <c r="AG88" s="276"/>
      <c r="AH88" s="276"/>
      <c r="AI88" s="276"/>
      <c r="AJ88" s="276"/>
      <c r="AK88" s="276"/>
      <c r="AL88" s="276"/>
      <c r="AM88" s="276"/>
      <c r="AN88" s="276"/>
      <c r="AO88" s="182">
        <f t="shared" si="18"/>
        <v>0</v>
      </c>
      <c r="AP88" s="182">
        <f t="shared" si="19"/>
        <v>0</v>
      </c>
      <c r="AQ88" s="182">
        <f t="shared" si="20"/>
        <v>0</v>
      </c>
      <c r="AR88" s="182">
        <f t="shared" si="21"/>
        <v>0</v>
      </c>
      <c r="AS88" s="182">
        <f t="shared" si="22"/>
        <v>0</v>
      </c>
      <c r="AT88" s="174"/>
      <c r="AU88" s="174"/>
      <c r="AV88" s="182">
        <f t="shared" si="23"/>
        <v>0</v>
      </c>
      <c r="AW88" s="179"/>
    </row>
    <row r="89" spans="2:49" s="149" customFormat="1">
      <c r="B89" s="278">
        <v>84</v>
      </c>
      <c r="C89" s="273" t="s">
        <v>338</v>
      </c>
      <c r="D89" s="273" t="s">
        <v>360</v>
      </c>
      <c r="E89" s="282" t="s">
        <v>10</v>
      </c>
      <c r="F89" s="271">
        <v>380</v>
      </c>
      <c r="G89" s="272">
        <v>0</v>
      </c>
      <c r="H89" s="272"/>
      <c r="I89" s="182">
        <f t="shared" si="17"/>
        <v>0</v>
      </c>
      <c r="J89" s="276"/>
      <c r="K89" s="276"/>
      <c r="L89" s="276"/>
      <c r="M89" s="276"/>
      <c r="N89" s="276"/>
      <c r="O89" s="276"/>
      <c r="P89" s="276"/>
      <c r="Q89" s="276"/>
      <c r="R89" s="276"/>
      <c r="S89" s="276"/>
      <c r="T89" s="276"/>
      <c r="U89" s="276"/>
      <c r="V89" s="276"/>
      <c r="W89" s="276"/>
      <c r="X89" s="276"/>
      <c r="Y89" s="276"/>
      <c r="Z89" s="276"/>
      <c r="AA89" s="276"/>
      <c r="AB89" s="276"/>
      <c r="AC89" s="276"/>
      <c r="AD89" s="276"/>
      <c r="AE89" s="276"/>
      <c r="AF89" s="276"/>
      <c r="AG89" s="276"/>
      <c r="AH89" s="276"/>
      <c r="AI89" s="276"/>
      <c r="AJ89" s="276"/>
      <c r="AK89" s="276"/>
      <c r="AL89" s="276"/>
      <c r="AM89" s="276"/>
      <c r="AN89" s="276"/>
      <c r="AO89" s="182">
        <f t="shared" si="18"/>
        <v>0</v>
      </c>
      <c r="AP89" s="182">
        <f t="shared" si="19"/>
        <v>0</v>
      </c>
      <c r="AQ89" s="182">
        <f t="shared" si="20"/>
        <v>0</v>
      </c>
      <c r="AR89" s="182">
        <f t="shared" si="21"/>
        <v>0</v>
      </c>
      <c r="AS89" s="182">
        <f t="shared" si="22"/>
        <v>0</v>
      </c>
      <c r="AT89" s="174"/>
      <c r="AU89" s="174"/>
      <c r="AV89" s="182">
        <f t="shared" si="23"/>
        <v>0</v>
      </c>
      <c r="AW89" s="179"/>
    </row>
    <row r="90" spans="2:49" s="149" customFormat="1">
      <c r="B90" s="278">
        <v>85</v>
      </c>
      <c r="C90" s="280" t="s">
        <v>445</v>
      </c>
      <c r="D90" s="273" t="s">
        <v>360</v>
      </c>
      <c r="E90" s="275" t="s">
        <v>10</v>
      </c>
      <c r="F90" s="271">
        <v>35</v>
      </c>
      <c r="G90" s="272">
        <v>5</v>
      </c>
      <c r="H90" s="272"/>
      <c r="I90" s="182">
        <f t="shared" si="17"/>
        <v>5</v>
      </c>
      <c r="J90" s="276"/>
      <c r="K90" s="276"/>
      <c r="L90" s="276"/>
      <c r="M90" s="276"/>
      <c r="N90" s="276"/>
      <c r="O90" s="276"/>
      <c r="P90" s="276"/>
      <c r="Q90" s="276"/>
      <c r="R90" s="276"/>
      <c r="S90" s="276"/>
      <c r="T90" s="276"/>
      <c r="U90" s="276"/>
      <c r="V90" s="276"/>
      <c r="W90" s="276"/>
      <c r="X90" s="276"/>
      <c r="Y90" s="276"/>
      <c r="Z90" s="276"/>
      <c r="AA90" s="276"/>
      <c r="AB90" s="276"/>
      <c r="AC90" s="276"/>
      <c r="AD90" s="276"/>
      <c r="AE90" s="276"/>
      <c r="AF90" s="276"/>
      <c r="AG90" s="276"/>
      <c r="AH90" s="276"/>
      <c r="AI90" s="276"/>
      <c r="AJ90" s="276"/>
      <c r="AK90" s="276"/>
      <c r="AL90" s="276"/>
      <c r="AM90" s="276"/>
      <c r="AN90" s="276"/>
      <c r="AO90" s="182">
        <f t="shared" si="18"/>
        <v>0</v>
      </c>
      <c r="AP90" s="182">
        <f t="shared" si="19"/>
        <v>5</v>
      </c>
      <c r="AQ90" s="182">
        <f t="shared" si="20"/>
        <v>0</v>
      </c>
      <c r="AR90" s="182">
        <f t="shared" si="21"/>
        <v>175</v>
      </c>
      <c r="AS90" s="182">
        <f t="shared" si="22"/>
        <v>0</v>
      </c>
      <c r="AT90" s="174"/>
      <c r="AU90" s="174"/>
      <c r="AV90" s="182">
        <f t="shared" si="23"/>
        <v>0</v>
      </c>
      <c r="AW90" s="179"/>
    </row>
    <row r="91" spans="2:49" s="149" customFormat="1">
      <c r="B91" s="278">
        <v>86</v>
      </c>
      <c r="C91" s="273" t="s">
        <v>339</v>
      </c>
      <c r="D91" s="273" t="s">
        <v>360</v>
      </c>
      <c r="E91" s="275" t="s">
        <v>64</v>
      </c>
      <c r="F91" s="271">
        <v>55</v>
      </c>
      <c r="G91" s="272">
        <v>2</v>
      </c>
      <c r="H91" s="272"/>
      <c r="I91" s="182">
        <f t="shared" si="17"/>
        <v>2</v>
      </c>
      <c r="J91" s="276"/>
      <c r="K91" s="276"/>
      <c r="L91" s="276"/>
      <c r="M91" s="276">
        <v>1</v>
      </c>
      <c r="N91" s="276"/>
      <c r="O91" s="276"/>
      <c r="P91" s="276"/>
      <c r="Q91" s="276"/>
      <c r="R91" s="276"/>
      <c r="S91" s="276"/>
      <c r="T91" s="276"/>
      <c r="U91" s="276"/>
      <c r="V91" s="276"/>
      <c r="W91" s="276"/>
      <c r="X91" s="276"/>
      <c r="Y91" s="276"/>
      <c r="Z91" s="276"/>
      <c r="AA91" s="276"/>
      <c r="AB91" s="276"/>
      <c r="AC91" s="276"/>
      <c r="AD91" s="276"/>
      <c r="AE91" s="276"/>
      <c r="AF91" s="276"/>
      <c r="AG91" s="276"/>
      <c r="AH91" s="276"/>
      <c r="AI91" s="276"/>
      <c r="AJ91" s="276"/>
      <c r="AK91" s="276"/>
      <c r="AL91" s="276"/>
      <c r="AM91" s="276"/>
      <c r="AN91" s="276"/>
      <c r="AO91" s="182">
        <f t="shared" si="18"/>
        <v>1</v>
      </c>
      <c r="AP91" s="182">
        <f t="shared" si="19"/>
        <v>1</v>
      </c>
      <c r="AQ91" s="182">
        <f t="shared" si="20"/>
        <v>55</v>
      </c>
      <c r="AR91" s="182">
        <f t="shared" si="21"/>
        <v>55</v>
      </c>
      <c r="AS91" s="182">
        <f t="shared" si="22"/>
        <v>0</v>
      </c>
      <c r="AT91" s="174"/>
      <c r="AU91" s="174"/>
      <c r="AV91" s="182">
        <f t="shared" si="23"/>
        <v>0</v>
      </c>
      <c r="AW91" s="179"/>
    </row>
    <row r="92" spans="2:49" s="149" customFormat="1">
      <c r="B92" s="278">
        <v>87</v>
      </c>
      <c r="C92" s="273" t="s">
        <v>340</v>
      </c>
      <c r="D92" s="273" t="s">
        <v>362</v>
      </c>
      <c r="E92" s="275" t="s">
        <v>10</v>
      </c>
      <c r="F92" s="271">
        <v>245</v>
      </c>
      <c r="G92" s="272">
        <v>0</v>
      </c>
      <c r="H92" s="272"/>
      <c r="I92" s="182">
        <f t="shared" si="17"/>
        <v>0</v>
      </c>
      <c r="J92" s="276"/>
      <c r="K92" s="276"/>
      <c r="L92" s="276"/>
      <c r="M92" s="276"/>
      <c r="N92" s="276"/>
      <c r="O92" s="276"/>
      <c r="P92" s="276"/>
      <c r="Q92" s="276"/>
      <c r="R92" s="276"/>
      <c r="S92" s="276"/>
      <c r="T92" s="276"/>
      <c r="U92" s="276"/>
      <c r="V92" s="276"/>
      <c r="W92" s="276"/>
      <c r="X92" s="276"/>
      <c r="Y92" s="276"/>
      <c r="Z92" s="276"/>
      <c r="AA92" s="276"/>
      <c r="AB92" s="276"/>
      <c r="AC92" s="276"/>
      <c r="AD92" s="276"/>
      <c r="AE92" s="276"/>
      <c r="AF92" s="276"/>
      <c r="AG92" s="276"/>
      <c r="AH92" s="276"/>
      <c r="AI92" s="276"/>
      <c r="AJ92" s="276"/>
      <c r="AK92" s="276"/>
      <c r="AL92" s="276"/>
      <c r="AM92" s="276"/>
      <c r="AN92" s="276"/>
      <c r="AO92" s="182">
        <f t="shared" si="18"/>
        <v>0</v>
      </c>
      <c r="AP92" s="182">
        <f t="shared" si="19"/>
        <v>0</v>
      </c>
      <c r="AQ92" s="182">
        <f t="shared" si="20"/>
        <v>0</v>
      </c>
      <c r="AR92" s="182">
        <f t="shared" si="21"/>
        <v>0</v>
      </c>
      <c r="AS92" s="182">
        <f t="shared" si="22"/>
        <v>0</v>
      </c>
      <c r="AT92" s="174"/>
      <c r="AU92" s="174"/>
      <c r="AV92" s="182">
        <f t="shared" si="23"/>
        <v>0</v>
      </c>
      <c r="AW92" s="179"/>
    </row>
    <row r="93" spans="2:49" s="149" customFormat="1">
      <c r="B93" s="278">
        <v>88</v>
      </c>
      <c r="C93" s="273" t="s">
        <v>341</v>
      </c>
      <c r="D93" s="273" t="s">
        <v>360</v>
      </c>
      <c r="E93" s="275" t="s">
        <v>66</v>
      </c>
      <c r="F93" s="271">
        <v>15</v>
      </c>
      <c r="G93" s="272">
        <v>0</v>
      </c>
      <c r="H93" s="272"/>
      <c r="I93" s="182">
        <f t="shared" si="17"/>
        <v>0</v>
      </c>
      <c r="J93" s="276"/>
      <c r="K93" s="276"/>
      <c r="L93" s="276"/>
      <c r="M93" s="276"/>
      <c r="N93" s="276"/>
      <c r="O93" s="276"/>
      <c r="P93" s="276"/>
      <c r="Q93" s="276"/>
      <c r="R93" s="276"/>
      <c r="S93" s="276"/>
      <c r="T93" s="276"/>
      <c r="U93" s="276"/>
      <c r="V93" s="276"/>
      <c r="W93" s="276"/>
      <c r="X93" s="276"/>
      <c r="Y93" s="276"/>
      <c r="Z93" s="276"/>
      <c r="AA93" s="276"/>
      <c r="AB93" s="276"/>
      <c r="AC93" s="276"/>
      <c r="AD93" s="276"/>
      <c r="AE93" s="276"/>
      <c r="AF93" s="276"/>
      <c r="AG93" s="276"/>
      <c r="AH93" s="276"/>
      <c r="AI93" s="276"/>
      <c r="AJ93" s="276"/>
      <c r="AK93" s="276"/>
      <c r="AL93" s="276"/>
      <c r="AM93" s="276"/>
      <c r="AN93" s="276"/>
      <c r="AO93" s="182">
        <f t="shared" si="18"/>
        <v>0</v>
      </c>
      <c r="AP93" s="182">
        <f t="shared" si="19"/>
        <v>0</v>
      </c>
      <c r="AQ93" s="182">
        <f t="shared" si="20"/>
        <v>0</v>
      </c>
      <c r="AR93" s="182">
        <f t="shared" si="21"/>
        <v>0</v>
      </c>
      <c r="AS93" s="182">
        <f t="shared" si="22"/>
        <v>0</v>
      </c>
      <c r="AT93" s="174"/>
      <c r="AU93" s="174"/>
      <c r="AV93" s="182">
        <f t="shared" si="23"/>
        <v>0</v>
      </c>
      <c r="AW93" s="179"/>
    </row>
    <row r="94" spans="2:49" s="149" customFormat="1">
      <c r="B94" s="278">
        <v>89</v>
      </c>
      <c r="C94" s="273" t="s">
        <v>342</v>
      </c>
      <c r="D94" s="273" t="s">
        <v>360</v>
      </c>
      <c r="E94" s="275" t="s">
        <v>10</v>
      </c>
      <c r="F94" s="271">
        <v>5.5</v>
      </c>
      <c r="G94" s="272">
        <v>0</v>
      </c>
      <c r="H94" s="272"/>
      <c r="I94" s="182">
        <f t="shared" si="17"/>
        <v>0</v>
      </c>
      <c r="J94" s="276"/>
      <c r="K94" s="276"/>
      <c r="L94" s="276"/>
      <c r="M94" s="276"/>
      <c r="N94" s="276"/>
      <c r="O94" s="276"/>
      <c r="P94" s="276"/>
      <c r="Q94" s="276"/>
      <c r="R94" s="276"/>
      <c r="S94" s="276"/>
      <c r="T94" s="276"/>
      <c r="U94" s="276"/>
      <c r="V94" s="276"/>
      <c r="W94" s="276"/>
      <c r="X94" s="276"/>
      <c r="Y94" s="276"/>
      <c r="Z94" s="276"/>
      <c r="AA94" s="276"/>
      <c r="AB94" s="276"/>
      <c r="AC94" s="276"/>
      <c r="AD94" s="276"/>
      <c r="AE94" s="276"/>
      <c r="AF94" s="276"/>
      <c r="AG94" s="276"/>
      <c r="AH94" s="276"/>
      <c r="AI94" s="276"/>
      <c r="AJ94" s="276"/>
      <c r="AK94" s="276"/>
      <c r="AL94" s="276"/>
      <c r="AM94" s="276"/>
      <c r="AN94" s="276"/>
      <c r="AO94" s="182">
        <f t="shared" si="18"/>
        <v>0</v>
      </c>
      <c r="AP94" s="182">
        <f t="shared" si="19"/>
        <v>0</v>
      </c>
      <c r="AQ94" s="182">
        <f t="shared" si="20"/>
        <v>0</v>
      </c>
      <c r="AR94" s="182">
        <f t="shared" si="21"/>
        <v>0</v>
      </c>
      <c r="AS94" s="182">
        <f t="shared" si="22"/>
        <v>0</v>
      </c>
      <c r="AT94" s="174"/>
      <c r="AU94" s="174"/>
      <c r="AV94" s="182">
        <f t="shared" si="23"/>
        <v>0</v>
      </c>
      <c r="AW94" s="179"/>
    </row>
    <row r="95" spans="2:49" s="149" customFormat="1">
      <c r="B95" s="278">
        <v>90</v>
      </c>
      <c r="C95" s="280" t="s">
        <v>67</v>
      </c>
      <c r="D95" s="273" t="s">
        <v>360</v>
      </c>
      <c r="E95" s="275" t="s">
        <v>10</v>
      </c>
      <c r="F95" s="271">
        <v>72</v>
      </c>
      <c r="G95" s="272">
        <v>3</v>
      </c>
      <c r="H95" s="272"/>
      <c r="I95" s="182">
        <f t="shared" si="17"/>
        <v>3</v>
      </c>
      <c r="J95" s="276"/>
      <c r="K95" s="276"/>
      <c r="L95" s="276"/>
      <c r="M95" s="276"/>
      <c r="N95" s="276"/>
      <c r="O95" s="276"/>
      <c r="P95" s="276"/>
      <c r="Q95" s="276"/>
      <c r="R95" s="276"/>
      <c r="S95" s="276"/>
      <c r="T95" s="276"/>
      <c r="U95" s="276"/>
      <c r="V95" s="276"/>
      <c r="W95" s="276"/>
      <c r="X95" s="276"/>
      <c r="Y95" s="276"/>
      <c r="Z95" s="276"/>
      <c r="AA95" s="276"/>
      <c r="AB95" s="276"/>
      <c r="AC95" s="276"/>
      <c r="AD95" s="276"/>
      <c r="AE95" s="276"/>
      <c r="AF95" s="276"/>
      <c r="AG95" s="276"/>
      <c r="AH95" s="276"/>
      <c r="AI95" s="276"/>
      <c r="AJ95" s="276"/>
      <c r="AK95" s="276"/>
      <c r="AL95" s="276"/>
      <c r="AM95" s="276"/>
      <c r="AN95" s="276"/>
      <c r="AO95" s="182">
        <f t="shared" si="18"/>
        <v>0</v>
      </c>
      <c r="AP95" s="182">
        <f t="shared" si="19"/>
        <v>3</v>
      </c>
      <c r="AQ95" s="182">
        <f t="shared" si="20"/>
        <v>0</v>
      </c>
      <c r="AR95" s="182">
        <f t="shared" si="21"/>
        <v>216</v>
      </c>
      <c r="AS95" s="182">
        <f t="shared" si="22"/>
        <v>0</v>
      </c>
      <c r="AT95" s="174"/>
      <c r="AU95" s="174"/>
      <c r="AV95" s="182">
        <f t="shared" si="23"/>
        <v>0</v>
      </c>
      <c r="AW95" s="179"/>
    </row>
    <row r="96" spans="2:49" s="149" customFormat="1">
      <c r="B96" s="278">
        <v>91</v>
      </c>
      <c r="C96" s="273" t="s">
        <v>343</v>
      </c>
      <c r="D96" s="273" t="s">
        <v>381</v>
      </c>
      <c r="E96" s="275" t="s">
        <v>10</v>
      </c>
      <c r="F96" s="271">
        <v>450</v>
      </c>
      <c r="G96" s="272">
        <v>0</v>
      </c>
      <c r="H96" s="272"/>
      <c r="I96" s="182">
        <f t="shared" si="17"/>
        <v>0</v>
      </c>
      <c r="J96" s="276"/>
      <c r="K96" s="276"/>
      <c r="L96" s="276"/>
      <c r="M96" s="276"/>
      <c r="N96" s="276"/>
      <c r="O96" s="276"/>
      <c r="P96" s="276"/>
      <c r="Q96" s="276"/>
      <c r="R96" s="276"/>
      <c r="S96" s="276"/>
      <c r="T96" s="276"/>
      <c r="U96" s="276"/>
      <c r="V96" s="276"/>
      <c r="W96" s="276"/>
      <c r="X96" s="276"/>
      <c r="Y96" s="276"/>
      <c r="Z96" s="276"/>
      <c r="AA96" s="276"/>
      <c r="AB96" s="276"/>
      <c r="AC96" s="276"/>
      <c r="AD96" s="276"/>
      <c r="AE96" s="276"/>
      <c r="AF96" s="276"/>
      <c r="AG96" s="276"/>
      <c r="AH96" s="276"/>
      <c r="AI96" s="276"/>
      <c r="AJ96" s="276"/>
      <c r="AK96" s="276"/>
      <c r="AL96" s="276"/>
      <c r="AM96" s="276"/>
      <c r="AN96" s="276"/>
      <c r="AO96" s="182">
        <f t="shared" si="18"/>
        <v>0</v>
      </c>
      <c r="AP96" s="182">
        <f t="shared" si="19"/>
        <v>0</v>
      </c>
      <c r="AQ96" s="182">
        <f t="shared" si="20"/>
        <v>0</v>
      </c>
      <c r="AR96" s="182">
        <f t="shared" si="21"/>
        <v>0</v>
      </c>
      <c r="AS96" s="182">
        <f t="shared" si="22"/>
        <v>0</v>
      </c>
      <c r="AT96" s="174"/>
      <c r="AU96" s="174"/>
      <c r="AV96" s="182">
        <f t="shared" si="23"/>
        <v>0</v>
      </c>
      <c r="AW96" s="179"/>
    </row>
    <row r="97" spans="2:49" s="149" customFormat="1">
      <c r="B97" s="278">
        <v>92</v>
      </c>
      <c r="C97" s="273" t="s">
        <v>344</v>
      </c>
      <c r="D97" s="273" t="s">
        <v>360</v>
      </c>
      <c r="E97" s="275" t="s">
        <v>10</v>
      </c>
      <c r="F97" s="271">
        <v>180</v>
      </c>
      <c r="G97" s="272">
        <v>0</v>
      </c>
      <c r="H97" s="272"/>
      <c r="I97" s="182">
        <f t="shared" si="17"/>
        <v>0</v>
      </c>
      <c r="J97" s="276"/>
      <c r="K97" s="276"/>
      <c r="L97" s="276"/>
      <c r="M97" s="276"/>
      <c r="N97" s="276"/>
      <c r="O97" s="276"/>
      <c r="P97" s="276"/>
      <c r="Q97" s="276"/>
      <c r="R97" s="276"/>
      <c r="S97" s="276"/>
      <c r="T97" s="276"/>
      <c r="U97" s="276"/>
      <c r="V97" s="276"/>
      <c r="W97" s="276"/>
      <c r="X97" s="276"/>
      <c r="Y97" s="276"/>
      <c r="Z97" s="276"/>
      <c r="AA97" s="276"/>
      <c r="AB97" s="276"/>
      <c r="AC97" s="276"/>
      <c r="AD97" s="276"/>
      <c r="AE97" s="276"/>
      <c r="AF97" s="276"/>
      <c r="AG97" s="276"/>
      <c r="AH97" s="276"/>
      <c r="AI97" s="276"/>
      <c r="AJ97" s="276"/>
      <c r="AK97" s="276"/>
      <c r="AL97" s="276"/>
      <c r="AM97" s="276"/>
      <c r="AN97" s="276"/>
      <c r="AO97" s="182">
        <f t="shared" si="18"/>
        <v>0</v>
      </c>
      <c r="AP97" s="182">
        <f t="shared" si="19"/>
        <v>0</v>
      </c>
      <c r="AQ97" s="182">
        <f t="shared" si="20"/>
        <v>0</v>
      </c>
      <c r="AR97" s="182">
        <f t="shared" si="21"/>
        <v>0</v>
      </c>
      <c r="AS97" s="182">
        <f t="shared" si="22"/>
        <v>0</v>
      </c>
      <c r="AT97" s="174"/>
      <c r="AU97" s="174"/>
      <c r="AV97" s="182">
        <f t="shared" si="23"/>
        <v>0</v>
      </c>
      <c r="AW97" s="179"/>
    </row>
    <row r="98" spans="2:49" s="149" customFormat="1">
      <c r="B98" s="278">
        <v>93</v>
      </c>
      <c r="C98" s="280" t="s">
        <v>455</v>
      </c>
      <c r="D98" s="273" t="s">
        <v>366</v>
      </c>
      <c r="E98" s="275" t="s">
        <v>10</v>
      </c>
      <c r="F98" s="271">
        <v>35</v>
      </c>
      <c r="G98" s="272">
        <v>2</v>
      </c>
      <c r="H98" s="272"/>
      <c r="I98" s="182">
        <f t="shared" si="17"/>
        <v>2</v>
      </c>
      <c r="J98" s="276"/>
      <c r="K98" s="276"/>
      <c r="L98" s="276"/>
      <c r="M98" s="276"/>
      <c r="N98" s="276"/>
      <c r="O98" s="276"/>
      <c r="P98" s="276"/>
      <c r="Q98" s="276"/>
      <c r="R98" s="276"/>
      <c r="S98" s="276"/>
      <c r="T98" s="276"/>
      <c r="U98" s="276"/>
      <c r="V98" s="276"/>
      <c r="W98" s="276"/>
      <c r="X98" s="276"/>
      <c r="Y98" s="276"/>
      <c r="Z98" s="276"/>
      <c r="AA98" s="276"/>
      <c r="AB98" s="276"/>
      <c r="AC98" s="276"/>
      <c r="AD98" s="276"/>
      <c r="AE98" s="276"/>
      <c r="AF98" s="276"/>
      <c r="AG98" s="276"/>
      <c r="AH98" s="276"/>
      <c r="AI98" s="276"/>
      <c r="AJ98" s="276"/>
      <c r="AK98" s="276"/>
      <c r="AL98" s="276"/>
      <c r="AM98" s="276"/>
      <c r="AN98" s="276"/>
      <c r="AO98" s="182">
        <f t="shared" si="18"/>
        <v>0</v>
      </c>
      <c r="AP98" s="182">
        <f t="shared" si="19"/>
        <v>2</v>
      </c>
      <c r="AQ98" s="182">
        <f t="shared" si="20"/>
        <v>0</v>
      </c>
      <c r="AR98" s="182">
        <f t="shared" si="21"/>
        <v>70</v>
      </c>
      <c r="AS98" s="182">
        <f t="shared" si="22"/>
        <v>0</v>
      </c>
      <c r="AT98" s="174"/>
      <c r="AU98" s="174"/>
      <c r="AV98" s="182">
        <f t="shared" si="23"/>
        <v>0</v>
      </c>
      <c r="AW98" s="179"/>
    </row>
    <row r="99" spans="2:49" s="149" customFormat="1">
      <c r="B99" s="278">
        <v>94</v>
      </c>
      <c r="C99" s="280" t="s">
        <v>432</v>
      </c>
      <c r="D99" s="273" t="s">
        <v>360</v>
      </c>
      <c r="E99" s="275" t="s">
        <v>10</v>
      </c>
      <c r="F99" s="271">
        <v>6.5</v>
      </c>
      <c r="G99" s="272">
        <v>61</v>
      </c>
      <c r="H99" s="272"/>
      <c r="I99" s="182">
        <f t="shared" si="17"/>
        <v>61</v>
      </c>
      <c r="J99" s="276"/>
      <c r="K99" s="276"/>
      <c r="L99" s="276"/>
      <c r="M99" s="276"/>
      <c r="N99" s="276">
        <v>1</v>
      </c>
      <c r="O99" s="276"/>
      <c r="P99" s="276"/>
      <c r="Q99" s="276"/>
      <c r="R99" s="276"/>
      <c r="S99" s="276">
        <v>1</v>
      </c>
      <c r="T99" s="276"/>
      <c r="U99" s="276"/>
      <c r="V99" s="276"/>
      <c r="W99" s="276"/>
      <c r="X99" s="276"/>
      <c r="Y99" s="276"/>
      <c r="Z99" s="276"/>
      <c r="AA99" s="276"/>
      <c r="AB99" s="276"/>
      <c r="AC99" s="276"/>
      <c r="AD99" s="276"/>
      <c r="AE99" s="276"/>
      <c r="AF99" s="276"/>
      <c r="AG99" s="276"/>
      <c r="AH99" s="276"/>
      <c r="AI99" s="276"/>
      <c r="AJ99" s="276"/>
      <c r="AK99" s="276"/>
      <c r="AL99" s="276"/>
      <c r="AM99" s="276"/>
      <c r="AN99" s="276"/>
      <c r="AO99" s="182">
        <f t="shared" si="18"/>
        <v>2</v>
      </c>
      <c r="AP99" s="182">
        <f t="shared" si="19"/>
        <v>59</v>
      </c>
      <c r="AQ99" s="182">
        <f t="shared" si="20"/>
        <v>13</v>
      </c>
      <c r="AR99" s="182">
        <f t="shared" si="21"/>
        <v>383.5</v>
      </c>
      <c r="AS99" s="182">
        <f t="shared" si="22"/>
        <v>0</v>
      </c>
      <c r="AT99" s="174"/>
      <c r="AU99" s="174"/>
      <c r="AV99" s="182">
        <f t="shared" si="23"/>
        <v>0</v>
      </c>
      <c r="AW99" s="179"/>
    </row>
    <row r="100" spans="2:49" s="149" customFormat="1">
      <c r="B100" s="278">
        <v>95</v>
      </c>
      <c r="C100" s="280" t="s">
        <v>450</v>
      </c>
      <c r="D100" s="273" t="s">
        <v>360</v>
      </c>
      <c r="E100" s="275" t="s">
        <v>10</v>
      </c>
      <c r="F100" s="271">
        <v>6.5</v>
      </c>
      <c r="G100" s="272">
        <v>42</v>
      </c>
      <c r="H100" s="272"/>
      <c r="I100" s="182">
        <f t="shared" si="17"/>
        <v>42</v>
      </c>
      <c r="J100" s="276"/>
      <c r="K100" s="276"/>
      <c r="L100" s="276"/>
      <c r="M100" s="276"/>
      <c r="N100" s="276"/>
      <c r="O100" s="276"/>
      <c r="P100" s="276"/>
      <c r="Q100" s="276"/>
      <c r="R100" s="276"/>
      <c r="S100" s="276"/>
      <c r="T100" s="276"/>
      <c r="U100" s="276"/>
      <c r="V100" s="276"/>
      <c r="W100" s="276"/>
      <c r="X100" s="276"/>
      <c r="Y100" s="276"/>
      <c r="Z100" s="276"/>
      <c r="AA100" s="276"/>
      <c r="AB100" s="276"/>
      <c r="AC100" s="276"/>
      <c r="AD100" s="276"/>
      <c r="AE100" s="276"/>
      <c r="AF100" s="276"/>
      <c r="AG100" s="276"/>
      <c r="AH100" s="276"/>
      <c r="AI100" s="276"/>
      <c r="AJ100" s="276"/>
      <c r="AK100" s="276"/>
      <c r="AL100" s="276"/>
      <c r="AM100" s="276"/>
      <c r="AN100" s="276"/>
      <c r="AO100" s="182">
        <f t="shared" si="18"/>
        <v>0</v>
      </c>
      <c r="AP100" s="182">
        <f t="shared" si="19"/>
        <v>42</v>
      </c>
      <c r="AQ100" s="182">
        <f t="shared" si="20"/>
        <v>0</v>
      </c>
      <c r="AR100" s="182">
        <f t="shared" si="21"/>
        <v>273</v>
      </c>
      <c r="AS100" s="182">
        <f t="shared" si="22"/>
        <v>0</v>
      </c>
      <c r="AT100" s="174"/>
      <c r="AU100" s="174"/>
      <c r="AV100" s="182">
        <f t="shared" si="23"/>
        <v>0</v>
      </c>
      <c r="AW100" s="179"/>
    </row>
    <row r="101" spans="2:49" s="149" customFormat="1">
      <c r="B101" s="278">
        <v>96</v>
      </c>
      <c r="C101" s="273" t="s">
        <v>345</v>
      </c>
      <c r="D101" s="273" t="s">
        <v>360</v>
      </c>
      <c r="E101" s="275" t="s">
        <v>10</v>
      </c>
      <c r="F101" s="271">
        <v>10</v>
      </c>
      <c r="G101" s="272">
        <v>4</v>
      </c>
      <c r="H101" s="272"/>
      <c r="I101" s="182">
        <f t="shared" si="17"/>
        <v>4</v>
      </c>
      <c r="J101" s="276"/>
      <c r="K101" s="276">
        <v>1</v>
      </c>
      <c r="L101" s="276"/>
      <c r="M101" s="276"/>
      <c r="N101" s="276"/>
      <c r="O101" s="276"/>
      <c r="P101" s="276"/>
      <c r="Q101" s="276"/>
      <c r="R101" s="276"/>
      <c r="S101" s="276"/>
      <c r="T101" s="276"/>
      <c r="U101" s="276"/>
      <c r="V101" s="276"/>
      <c r="W101" s="276"/>
      <c r="X101" s="276"/>
      <c r="Y101" s="276"/>
      <c r="Z101" s="276"/>
      <c r="AA101" s="276"/>
      <c r="AB101" s="276"/>
      <c r="AC101" s="276"/>
      <c r="AD101" s="276"/>
      <c r="AE101" s="276"/>
      <c r="AF101" s="276"/>
      <c r="AG101" s="276"/>
      <c r="AH101" s="276"/>
      <c r="AI101" s="276"/>
      <c r="AJ101" s="276"/>
      <c r="AK101" s="276"/>
      <c r="AL101" s="276"/>
      <c r="AM101" s="276"/>
      <c r="AN101" s="276"/>
      <c r="AO101" s="182">
        <f t="shared" si="18"/>
        <v>1</v>
      </c>
      <c r="AP101" s="182">
        <f t="shared" si="19"/>
        <v>3</v>
      </c>
      <c r="AQ101" s="182">
        <f t="shared" si="20"/>
        <v>10</v>
      </c>
      <c r="AR101" s="182">
        <f t="shared" si="21"/>
        <v>30</v>
      </c>
      <c r="AS101" s="182">
        <f t="shared" si="22"/>
        <v>0</v>
      </c>
      <c r="AT101" s="174"/>
      <c r="AU101" s="174"/>
      <c r="AV101" s="182">
        <f t="shared" si="23"/>
        <v>0</v>
      </c>
      <c r="AW101" s="179"/>
    </row>
    <row r="102" spans="2:49" s="149" customFormat="1">
      <c r="B102" s="278">
        <v>97</v>
      </c>
      <c r="C102" s="273" t="s">
        <v>346</v>
      </c>
      <c r="D102" s="273" t="s">
        <v>382</v>
      </c>
      <c r="E102" s="275" t="s">
        <v>10</v>
      </c>
      <c r="F102" s="271">
        <v>35</v>
      </c>
      <c r="G102" s="272">
        <v>0</v>
      </c>
      <c r="H102" s="272"/>
      <c r="I102" s="182">
        <f t="shared" si="17"/>
        <v>0</v>
      </c>
      <c r="J102" s="276"/>
      <c r="K102" s="276"/>
      <c r="L102" s="276"/>
      <c r="M102" s="276"/>
      <c r="N102" s="276"/>
      <c r="O102" s="276"/>
      <c r="P102" s="276"/>
      <c r="Q102" s="276"/>
      <c r="R102" s="276"/>
      <c r="S102" s="276"/>
      <c r="T102" s="276"/>
      <c r="U102" s="276"/>
      <c r="V102" s="276"/>
      <c r="W102" s="276"/>
      <c r="X102" s="276"/>
      <c r="Y102" s="276"/>
      <c r="Z102" s="276"/>
      <c r="AA102" s="276"/>
      <c r="AB102" s="276"/>
      <c r="AC102" s="276"/>
      <c r="AD102" s="276"/>
      <c r="AE102" s="276"/>
      <c r="AF102" s="276"/>
      <c r="AG102" s="276"/>
      <c r="AH102" s="276"/>
      <c r="AI102" s="276"/>
      <c r="AJ102" s="276"/>
      <c r="AK102" s="276"/>
      <c r="AL102" s="276"/>
      <c r="AM102" s="276"/>
      <c r="AN102" s="276"/>
      <c r="AO102" s="182">
        <f t="shared" si="18"/>
        <v>0</v>
      </c>
      <c r="AP102" s="182">
        <f t="shared" si="19"/>
        <v>0</v>
      </c>
      <c r="AQ102" s="182">
        <f t="shared" si="20"/>
        <v>0</v>
      </c>
      <c r="AR102" s="182">
        <f t="shared" si="21"/>
        <v>0</v>
      </c>
      <c r="AS102" s="182">
        <f t="shared" si="22"/>
        <v>0</v>
      </c>
      <c r="AT102" s="174"/>
      <c r="AU102" s="174"/>
      <c r="AV102" s="182">
        <f t="shared" si="23"/>
        <v>0</v>
      </c>
      <c r="AW102" s="179"/>
    </row>
    <row r="103" spans="2:49" s="149" customFormat="1">
      <c r="B103" s="278">
        <v>98</v>
      </c>
      <c r="C103" s="273" t="s">
        <v>347</v>
      </c>
      <c r="D103" s="273" t="s">
        <v>360</v>
      </c>
      <c r="E103" s="275" t="s">
        <v>10</v>
      </c>
      <c r="F103" s="271">
        <v>75</v>
      </c>
      <c r="G103" s="272">
        <v>0</v>
      </c>
      <c r="H103" s="272"/>
      <c r="I103" s="182">
        <f t="shared" si="17"/>
        <v>0</v>
      </c>
      <c r="J103" s="276"/>
      <c r="K103" s="276"/>
      <c r="L103" s="276"/>
      <c r="M103" s="276"/>
      <c r="N103" s="276"/>
      <c r="O103" s="276"/>
      <c r="P103" s="276"/>
      <c r="Q103" s="276"/>
      <c r="R103" s="276"/>
      <c r="S103" s="276"/>
      <c r="T103" s="276"/>
      <c r="U103" s="276"/>
      <c r="V103" s="276"/>
      <c r="W103" s="276"/>
      <c r="X103" s="276"/>
      <c r="Y103" s="276"/>
      <c r="Z103" s="276"/>
      <c r="AA103" s="276"/>
      <c r="AB103" s="276"/>
      <c r="AC103" s="276"/>
      <c r="AD103" s="276"/>
      <c r="AE103" s="276"/>
      <c r="AF103" s="276"/>
      <c r="AG103" s="276"/>
      <c r="AH103" s="276"/>
      <c r="AI103" s="276"/>
      <c r="AJ103" s="276"/>
      <c r="AK103" s="276"/>
      <c r="AL103" s="276"/>
      <c r="AM103" s="276"/>
      <c r="AN103" s="276"/>
      <c r="AO103" s="182">
        <f t="shared" si="18"/>
        <v>0</v>
      </c>
      <c r="AP103" s="182">
        <f t="shared" si="19"/>
        <v>0</v>
      </c>
      <c r="AQ103" s="182">
        <f t="shared" si="20"/>
        <v>0</v>
      </c>
      <c r="AR103" s="182">
        <f t="shared" si="21"/>
        <v>0</v>
      </c>
      <c r="AS103" s="182">
        <f t="shared" si="22"/>
        <v>0</v>
      </c>
      <c r="AT103" s="174"/>
      <c r="AU103" s="174"/>
      <c r="AV103" s="182">
        <f t="shared" si="23"/>
        <v>0</v>
      </c>
      <c r="AW103" s="179"/>
    </row>
    <row r="104" spans="2:49" s="149" customFormat="1">
      <c r="B104" s="278">
        <v>99</v>
      </c>
      <c r="C104" s="273" t="s">
        <v>348</v>
      </c>
      <c r="D104" s="273" t="s">
        <v>360</v>
      </c>
      <c r="E104" s="275" t="s">
        <v>10</v>
      </c>
      <c r="F104" s="271">
        <v>110</v>
      </c>
      <c r="G104" s="272">
        <v>0</v>
      </c>
      <c r="H104" s="272"/>
      <c r="I104" s="182">
        <f t="shared" si="17"/>
        <v>0</v>
      </c>
      <c r="J104" s="276"/>
      <c r="K104" s="276"/>
      <c r="L104" s="276"/>
      <c r="M104" s="276"/>
      <c r="N104" s="276"/>
      <c r="O104" s="276"/>
      <c r="P104" s="276"/>
      <c r="Q104" s="276"/>
      <c r="R104" s="276"/>
      <c r="S104" s="276"/>
      <c r="T104" s="276"/>
      <c r="U104" s="276"/>
      <c r="V104" s="276"/>
      <c r="W104" s="276"/>
      <c r="X104" s="276"/>
      <c r="Y104" s="276"/>
      <c r="Z104" s="276"/>
      <c r="AA104" s="276"/>
      <c r="AB104" s="276"/>
      <c r="AC104" s="276"/>
      <c r="AD104" s="276"/>
      <c r="AE104" s="276"/>
      <c r="AF104" s="276"/>
      <c r="AG104" s="276"/>
      <c r="AH104" s="276"/>
      <c r="AI104" s="276"/>
      <c r="AJ104" s="276"/>
      <c r="AK104" s="276"/>
      <c r="AL104" s="276"/>
      <c r="AM104" s="276"/>
      <c r="AN104" s="276"/>
      <c r="AO104" s="182">
        <f t="shared" si="18"/>
        <v>0</v>
      </c>
      <c r="AP104" s="182">
        <f t="shared" si="19"/>
        <v>0</v>
      </c>
      <c r="AQ104" s="182">
        <f t="shared" si="20"/>
        <v>0</v>
      </c>
      <c r="AR104" s="182">
        <f t="shared" si="21"/>
        <v>0</v>
      </c>
      <c r="AS104" s="182">
        <f t="shared" si="22"/>
        <v>0</v>
      </c>
      <c r="AT104" s="174"/>
      <c r="AU104" s="174"/>
      <c r="AV104" s="182">
        <f t="shared" si="23"/>
        <v>0</v>
      </c>
      <c r="AW104" s="179"/>
    </row>
    <row r="105" spans="2:49" s="149" customFormat="1">
      <c r="B105" s="278">
        <v>100</v>
      </c>
      <c r="C105" s="273" t="s">
        <v>349</v>
      </c>
      <c r="D105" s="273" t="s">
        <v>360</v>
      </c>
      <c r="E105" s="275" t="s">
        <v>10</v>
      </c>
      <c r="F105" s="271">
        <v>150</v>
      </c>
      <c r="G105" s="272">
        <v>0</v>
      </c>
      <c r="H105" s="272"/>
      <c r="I105" s="182">
        <f t="shared" si="17"/>
        <v>0</v>
      </c>
      <c r="J105" s="276"/>
      <c r="K105" s="276"/>
      <c r="L105" s="276"/>
      <c r="M105" s="276"/>
      <c r="N105" s="276"/>
      <c r="O105" s="276"/>
      <c r="P105" s="276"/>
      <c r="Q105" s="276"/>
      <c r="R105" s="276"/>
      <c r="S105" s="276"/>
      <c r="T105" s="276"/>
      <c r="U105" s="276"/>
      <c r="V105" s="276"/>
      <c r="W105" s="276"/>
      <c r="X105" s="276"/>
      <c r="Y105" s="276"/>
      <c r="Z105" s="276"/>
      <c r="AA105" s="276"/>
      <c r="AB105" s="276"/>
      <c r="AC105" s="276"/>
      <c r="AD105" s="276"/>
      <c r="AE105" s="276"/>
      <c r="AF105" s="276"/>
      <c r="AG105" s="276"/>
      <c r="AH105" s="276"/>
      <c r="AI105" s="276"/>
      <c r="AJ105" s="276"/>
      <c r="AK105" s="276"/>
      <c r="AL105" s="276"/>
      <c r="AM105" s="276"/>
      <c r="AN105" s="276"/>
      <c r="AO105" s="182">
        <f t="shared" si="18"/>
        <v>0</v>
      </c>
      <c r="AP105" s="182">
        <f t="shared" si="19"/>
        <v>0</v>
      </c>
      <c r="AQ105" s="182">
        <f t="shared" si="20"/>
        <v>0</v>
      </c>
      <c r="AR105" s="182">
        <f t="shared" si="21"/>
        <v>0</v>
      </c>
      <c r="AS105" s="182">
        <f t="shared" si="22"/>
        <v>0</v>
      </c>
      <c r="AT105" s="174"/>
      <c r="AU105" s="174"/>
      <c r="AV105" s="182">
        <f t="shared" si="23"/>
        <v>0</v>
      </c>
      <c r="AW105" s="179"/>
    </row>
    <row r="106" spans="2:49" s="149" customFormat="1">
      <c r="B106" s="278">
        <v>101</v>
      </c>
      <c r="C106" s="280" t="s">
        <v>431</v>
      </c>
      <c r="D106" s="273" t="s">
        <v>360</v>
      </c>
      <c r="E106" s="270" t="s">
        <v>10</v>
      </c>
      <c r="F106" s="271">
        <v>3.5</v>
      </c>
      <c r="G106" s="272">
        <v>169</v>
      </c>
      <c r="H106" s="272"/>
      <c r="I106" s="182">
        <f t="shared" si="17"/>
        <v>169</v>
      </c>
      <c r="J106" s="276"/>
      <c r="K106" s="276"/>
      <c r="L106" s="276"/>
      <c r="M106" s="276"/>
      <c r="N106" s="276"/>
      <c r="O106" s="276"/>
      <c r="P106" s="276"/>
      <c r="Q106" s="276"/>
      <c r="R106" s="276"/>
      <c r="S106" s="276"/>
      <c r="T106" s="276"/>
      <c r="U106" s="276"/>
      <c r="V106" s="276"/>
      <c r="W106" s="276"/>
      <c r="X106" s="276"/>
      <c r="Y106" s="276"/>
      <c r="Z106" s="276"/>
      <c r="AA106" s="276"/>
      <c r="AB106" s="276"/>
      <c r="AC106" s="276"/>
      <c r="AD106" s="276"/>
      <c r="AE106" s="276"/>
      <c r="AF106" s="276"/>
      <c r="AG106" s="276"/>
      <c r="AH106" s="276"/>
      <c r="AI106" s="276"/>
      <c r="AJ106" s="276"/>
      <c r="AK106" s="276"/>
      <c r="AL106" s="276"/>
      <c r="AM106" s="276"/>
      <c r="AN106" s="276"/>
      <c r="AO106" s="182">
        <f t="shared" si="18"/>
        <v>0</v>
      </c>
      <c r="AP106" s="182">
        <f t="shared" si="19"/>
        <v>169</v>
      </c>
      <c r="AQ106" s="182">
        <f t="shared" si="20"/>
        <v>0</v>
      </c>
      <c r="AR106" s="182">
        <f t="shared" si="21"/>
        <v>591.5</v>
      </c>
      <c r="AS106" s="182">
        <f t="shared" si="22"/>
        <v>0</v>
      </c>
      <c r="AT106" s="174"/>
      <c r="AU106" s="174"/>
      <c r="AV106" s="182">
        <f t="shared" si="23"/>
        <v>0</v>
      </c>
      <c r="AW106" s="179"/>
    </row>
    <row r="107" spans="2:49" s="149" customFormat="1">
      <c r="B107" s="278">
        <v>102</v>
      </c>
      <c r="C107" s="280" t="s">
        <v>434</v>
      </c>
      <c r="D107" s="273" t="s">
        <v>360</v>
      </c>
      <c r="E107" s="270" t="s">
        <v>10</v>
      </c>
      <c r="F107" s="271">
        <v>3.5</v>
      </c>
      <c r="G107" s="272">
        <v>139</v>
      </c>
      <c r="H107" s="272"/>
      <c r="I107" s="182">
        <f t="shared" si="17"/>
        <v>139</v>
      </c>
      <c r="J107" s="276"/>
      <c r="K107" s="276"/>
      <c r="L107" s="276"/>
      <c r="M107" s="276"/>
      <c r="N107" s="276">
        <v>50</v>
      </c>
      <c r="O107" s="276"/>
      <c r="P107" s="276"/>
      <c r="Q107" s="276"/>
      <c r="R107" s="276"/>
      <c r="S107" s="276"/>
      <c r="T107" s="276"/>
      <c r="U107" s="276"/>
      <c r="V107" s="276"/>
      <c r="W107" s="276"/>
      <c r="X107" s="276"/>
      <c r="Y107" s="276"/>
      <c r="Z107" s="276"/>
      <c r="AA107" s="276"/>
      <c r="AB107" s="276"/>
      <c r="AC107" s="276"/>
      <c r="AD107" s="276"/>
      <c r="AE107" s="276"/>
      <c r="AF107" s="276"/>
      <c r="AG107" s="276"/>
      <c r="AH107" s="276"/>
      <c r="AI107" s="276"/>
      <c r="AJ107" s="276"/>
      <c r="AK107" s="276"/>
      <c r="AL107" s="276"/>
      <c r="AM107" s="276"/>
      <c r="AN107" s="276"/>
      <c r="AO107" s="182">
        <f t="shared" si="18"/>
        <v>50</v>
      </c>
      <c r="AP107" s="182">
        <f t="shared" si="19"/>
        <v>89</v>
      </c>
      <c r="AQ107" s="182">
        <f t="shared" si="20"/>
        <v>175</v>
      </c>
      <c r="AR107" s="182">
        <f t="shared" si="21"/>
        <v>311.5</v>
      </c>
      <c r="AS107" s="182">
        <f t="shared" si="22"/>
        <v>0</v>
      </c>
      <c r="AT107" s="174"/>
      <c r="AU107" s="174"/>
      <c r="AV107" s="182"/>
      <c r="AW107" s="179"/>
    </row>
    <row r="108" spans="2:49" s="149" customFormat="1">
      <c r="B108" s="278">
        <v>103</v>
      </c>
      <c r="C108" s="280" t="s">
        <v>435</v>
      </c>
      <c r="D108" s="273" t="s">
        <v>360</v>
      </c>
      <c r="E108" s="275" t="s">
        <v>10</v>
      </c>
      <c r="F108" s="271">
        <v>4.5</v>
      </c>
      <c r="G108" s="272">
        <v>207</v>
      </c>
      <c r="H108" s="272"/>
      <c r="I108" s="182">
        <f t="shared" si="17"/>
        <v>207</v>
      </c>
      <c r="J108" s="276"/>
      <c r="K108" s="276"/>
      <c r="L108" s="276"/>
      <c r="M108" s="276"/>
      <c r="N108" s="276">
        <v>50</v>
      </c>
      <c r="O108" s="276"/>
      <c r="P108" s="276"/>
      <c r="Q108" s="276"/>
      <c r="R108" s="276"/>
      <c r="S108" s="276"/>
      <c r="T108" s="276"/>
      <c r="U108" s="276"/>
      <c r="V108" s="276"/>
      <c r="W108" s="276"/>
      <c r="X108" s="276"/>
      <c r="Y108" s="276"/>
      <c r="Z108" s="276"/>
      <c r="AA108" s="276"/>
      <c r="AB108" s="276"/>
      <c r="AC108" s="276"/>
      <c r="AD108" s="276"/>
      <c r="AE108" s="276"/>
      <c r="AF108" s="276"/>
      <c r="AG108" s="276"/>
      <c r="AH108" s="276"/>
      <c r="AI108" s="276"/>
      <c r="AJ108" s="276"/>
      <c r="AK108" s="276"/>
      <c r="AL108" s="276"/>
      <c r="AM108" s="276"/>
      <c r="AN108" s="276"/>
      <c r="AO108" s="182">
        <f t="shared" si="18"/>
        <v>50</v>
      </c>
      <c r="AP108" s="182">
        <f t="shared" si="19"/>
        <v>157</v>
      </c>
      <c r="AQ108" s="182">
        <f t="shared" si="20"/>
        <v>225</v>
      </c>
      <c r="AR108" s="182">
        <f t="shared" si="21"/>
        <v>706.5</v>
      </c>
      <c r="AS108" s="182">
        <f t="shared" si="22"/>
        <v>0</v>
      </c>
      <c r="AT108" s="174"/>
      <c r="AU108" s="174"/>
      <c r="AV108" s="182">
        <f t="shared" si="23"/>
        <v>0</v>
      </c>
      <c r="AW108" s="179"/>
    </row>
    <row r="109" spans="2:49" s="149" customFormat="1">
      <c r="B109" s="278">
        <v>104</v>
      </c>
      <c r="C109" s="273" t="s">
        <v>350</v>
      </c>
      <c r="D109" s="273" t="s">
        <v>360</v>
      </c>
      <c r="E109" s="275" t="s">
        <v>10</v>
      </c>
      <c r="F109" s="271">
        <v>7</v>
      </c>
      <c r="G109" s="272">
        <v>0</v>
      </c>
      <c r="H109" s="272"/>
      <c r="I109" s="182">
        <f t="shared" si="17"/>
        <v>0</v>
      </c>
      <c r="J109" s="276"/>
      <c r="K109" s="276"/>
      <c r="L109" s="276"/>
      <c r="M109" s="276"/>
      <c r="N109" s="276"/>
      <c r="O109" s="276"/>
      <c r="P109" s="276"/>
      <c r="Q109" s="276"/>
      <c r="R109" s="276"/>
      <c r="S109" s="276"/>
      <c r="T109" s="276"/>
      <c r="U109" s="276"/>
      <c r="V109" s="276"/>
      <c r="W109" s="276"/>
      <c r="X109" s="276"/>
      <c r="Y109" s="276"/>
      <c r="Z109" s="276"/>
      <c r="AA109" s="276"/>
      <c r="AB109" s="276"/>
      <c r="AC109" s="276"/>
      <c r="AD109" s="276"/>
      <c r="AE109" s="276"/>
      <c r="AF109" s="276"/>
      <c r="AG109" s="276"/>
      <c r="AH109" s="276"/>
      <c r="AI109" s="276"/>
      <c r="AJ109" s="276"/>
      <c r="AK109" s="276"/>
      <c r="AL109" s="276"/>
      <c r="AM109" s="276"/>
      <c r="AN109" s="276"/>
      <c r="AO109" s="182">
        <f t="shared" ref="AO109:AO121" si="24">SUM(J109:AN109)</f>
        <v>0</v>
      </c>
      <c r="AP109" s="182">
        <f t="shared" ref="AP109:AP121" si="25">I109-AO109</f>
        <v>0</v>
      </c>
      <c r="AQ109" s="182">
        <f t="shared" ref="AQ109:AQ121" si="26">AO109*F109</f>
        <v>0</v>
      </c>
      <c r="AR109" s="182">
        <f t="shared" ref="AR109:AR121" si="27">AP109*F109</f>
        <v>0</v>
      </c>
      <c r="AS109" s="182">
        <f t="shared" ref="AS109:AS121" si="28">H109*F109</f>
        <v>0</v>
      </c>
      <c r="AT109" s="174"/>
      <c r="AU109" s="174"/>
      <c r="AV109" s="182">
        <f t="shared" ref="AV109:AV121" si="29">AS109*SUM(AT109:AU109)%+AS109</f>
        <v>0</v>
      </c>
      <c r="AW109" s="179"/>
    </row>
    <row r="110" spans="2:49" s="149" customFormat="1">
      <c r="B110" s="278">
        <v>105</v>
      </c>
      <c r="C110" s="273" t="s">
        <v>351</v>
      </c>
      <c r="D110" s="273" t="s">
        <v>360</v>
      </c>
      <c r="E110" s="275" t="s">
        <v>10</v>
      </c>
      <c r="F110" s="271">
        <v>35</v>
      </c>
      <c r="G110" s="272">
        <v>0</v>
      </c>
      <c r="H110" s="272"/>
      <c r="I110" s="182">
        <f t="shared" si="17"/>
        <v>0</v>
      </c>
      <c r="J110" s="276"/>
      <c r="K110" s="276"/>
      <c r="L110" s="276"/>
      <c r="M110" s="276"/>
      <c r="N110" s="276"/>
      <c r="O110" s="276"/>
      <c r="P110" s="276"/>
      <c r="Q110" s="276"/>
      <c r="R110" s="276"/>
      <c r="S110" s="276"/>
      <c r="T110" s="276"/>
      <c r="U110" s="276"/>
      <c r="V110" s="276"/>
      <c r="W110" s="276"/>
      <c r="X110" s="276"/>
      <c r="Y110" s="276"/>
      <c r="Z110" s="276"/>
      <c r="AA110" s="276"/>
      <c r="AB110" s="276"/>
      <c r="AC110" s="276"/>
      <c r="AD110" s="276"/>
      <c r="AE110" s="276"/>
      <c r="AF110" s="276"/>
      <c r="AG110" s="276"/>
      <c r="AH110" s="276"/>
      <c r="AI110" s="276"/>
      <c r="AJ110" s="276"/>
      <c r="AK110" s="276"/>
      <c r="AL110" s="276"/>
      <c r="AM110" s="276"/>
      <c r="AN110" s="276"/>
      <c r="AO110" s="182">
        <f t="shared" si="24"/>
        <v>0</v>
      </c>
      <c r="AP110" s="182">
        <f t="shared" si="25"/>
        <v>0</v>
      </c>
      <c r="AQ110" s="182">
        <f t="shared" si="26"/>
        <v>0</v>
      </c>
      <c r="AR110" s="182">
        <f t="shared" si="27"/>
        <v>0</v>
      </c>
      <c r="AS110" s="182">
        <f t="shared" si="28"/>
        <v>0</v>
      </c>
      <c r="AT110" s="174"/>
      <c r="AU110" s="174"/>
      <c r="AV110" s="182">
        <f t="shared" si="29"/>
        <v>0</v>
      </c>
      <c r="AW110" s="179"/>
    </row>
    <row r="111" spans="2:49" s="149" customFormat="1">
      <c r="B111" s="278">
        <v>106</v>
      </c>
      <c r="C111" s="273" t="s">
        <v>352</v>
      </c>
      <c r="D111" s="273" t="s">
        <v>360</v>
      </c>
      <c r="E111" s="275" t="s">
        <v>10</v>
      </c>
      <c r="F111" s="271">
        <v>125</v>
      </c>
      <c r="G111" s="272">
        <v>0</v>
      </c>
      <c r="H111" s="272"/>
      <c r="I111" s="182">
        <f t="shared" si="17"/>
        <v>0</v>
      </c>
      <c r="J111" s="276"/>
      <c r="K111" s="276"/>
      <c r="L111" s="276"/>
      <c r="M111" s="276"/>
      <c r="N111" s="276"/>
      <c r="O111" s="276"/>
      <c r="P111" s="276"/>
      <c r="Q111" s="276"/>
      <c r="R111" s="276"/>
      <c r="S111" s="276"/>
      <c r="T111" s="276"/>
      <c r="U111" s="276"/>
      <c r="V111" s="276"/>
      <c r="W111" s="276"/>
      <c r="X111" s="276"/>
      <c r="Y111" s="276"/>
      <c r="Z111" s="276"/>
      <c r="AA111" s="276"/>
      <c r="AB111" s="276"/>
      <c r="AC111" s="276"/>
      <c r="AD111" s="276"/>
      <c r="AE111" s="276"/>
      <c r="AF111" s="276"/>
      <c r="AG111" s="276"/>
      <c r="AH111" s="276"/>
      <c r="AI111" s="276"/>
      <c r="AJ111" s="276"/>
      <c r="AK111" s="276"/>
      <c r="AL111" s="276"/>
      <c r="AM111" s="276"/>
      <c r="AN111" s="276"/>
      <c r="AO111" s="182">
        <f t="shared" si="24"/>
        <v>0</v>
      </c>
      <c r="AP111" s="182">
        <f t="shared" si="25"/>
        <v>0</v>
      </c>
      <c r="AQ111" s="182">
        <f t="shared" si="26"/>
        <v>0</v>
      </c>
      <c r="AR111" s="182">
        <f t="shared" si="27"/>
        <v>0</v>
      </c>
      <c r="AS111" s="182">
        <f t="shared" si="28"/>
        <v>0</v>
      </c>
      <c r="AT111" s="174"/>
      <c r="AU111" s="174"/>
      <c r="AV111" s="182">
        <f t="shared" si="29"/>
        <v>0</v>
      </c>
      <c r="AW111" s="179"/>
    </row>
    <row r="112" spans="2:49" s="149" customFormat="1">
      <c r="B112" s="278">
        <v>107</v>
      </c>
      <c r="C112" s="273" t="s">
        <v>353</v>
      </c>
      <c r="D112" s="273" t="s">
        <v>360</v>
      </c>
      <c r="E112" s="275" t="s">
        <v>10</v>
      </c>
      <c r="F112" s="271">
        <v>4.5</v>
      </c>
      <c r="G112" s="272">
        <v>0</v>
      </c>
      <c r="H112" s="272"/>
      <c r="I112" s="182">
        <f t="shared" si="17"/>
        <v>0</v>
      </c>
      <c r="J112" s="276"/>
      <c r="K112" s="276"/>
      <c r="L112" s="276"/>
      <c r="M112" s="276"/>
      <c r="N112" s="276"/>
      <c r="O112" s="276"/>
      <c r="P112" s="276"/>
      <c r="Q112" s="276"/>
      <c r="R112" s="276"/>
      <c r="S112" s="276"/>
      <c r="T112" s="276"/>
      <c r="U112" s="276"/>
      <c r="V112" s="276"/>
      <c r="W112" s="276"/>
      <c r="X112" s="276"/>
      <c r="Y112" s="276"/>
      <c r="Z112" s="276"/>
      <c r="AA112" s="276"/>
      <c r="AB112" s="276"/>
      <c r="AC112" s="276"/>
      <c r="AD112" s="276"/>
      <c r="AE112" s="276"/>
      <c r="AF112" s="276"/>
      <c r="AG112" s="276"/>
      <c r="AH112" s="276"/>
      <c r="AI112" s="276"/>
      <c r="AJ112" s="276"/>
      <c r="AK112" s="276"/>
      <c r="AL112" s="276"/>
      <c r="AM112" s="276"/>
      <c r="AN112" s="276"/>
      <c r="AO112" s="182">
        <f t="shared" si="24"/>
        <v>0</v>
      </c>
      <c r="AP112" s="182">
        <f t="shared" si="25"/>
        <v>0</v>
      </c>
      <c r="AQ112" s="182">
        <f t="shared" si="26"/>
        <v>0</v>
      </c>
      <c r="AR112" s="182">
        <f t="shared" si="27"/>
        <v>0</v>
      </c>
      <c r="AS112" s="182">
        <f t="shared" si="28"/>
        <v>0</v>
      </c>
      <c r="AT112" s="174"/>
      <c r="AU112" s="174"/>
      <c r="AV112" s="182">
        <f t="shared" si="29"/>
        <v>0</v>
      </c>
      <c r="AW112" s="179"/>
    </row>
    <row r="113" spans="1:1018" s="149" customFormat="1">
      <c r="B113" s="278">
        <v>108</v>
      </c>
      <c r="C113" s="273" t="s">
        <v>354</v>
      </c>
      <c r="D113" s="273" t="s">
        <v>360</v>
      </c>
      <c r="E113" s="275" t="s">
        <v>10</v>
      </c>
      <c r="F113" s="271">
        <v>490</v>
      </c>
      <c r="G113" s="272">
        <v>0</v>
      </c>
      <c r="H113" s="272"/>
      <c r="I113" s="182">
        <f t="shared" si="17"/>
        <v>0</v>
      </c>
      <c r="J113" s="276"/>
      <c r="K113" s="276"/>
      <c r="L113" s="276"/>
      <c r="M113" s="276"/>
      <c r="N113" s="276"/>
      <c r="O113" s="276"/>
      <c r="P113" s="276"/>
      <c r="Q113" s="276"/>
      <c r="R113" s="276"/>
      <c r="S113" s="276"/>
      <c r="T113" s="276"/>
      <c r="U113" s="276"/>
      <c r="V113" s="276"/>
      <c r="W113" s="276"/>
      <c r="X113" s="276"/>
      <c r="Y113" s="276"/>
      <c r="Z113" s="276"/>
      <c r="AA113" s="276"/>
      <c r="AB113" s="276"/>
      <c r="AC113" s="276"/>
      <c r="AD113" s="276"/>
      <c r="AE113" s="276"/>
      <c r="AF113" s="276"/>
      <c r="AG113" s="276"/>
      <c r="AH113" s="276"/>
      <c r="AI113" s="276"/>
      <c r="AJ113" s="276"/>
      <c r="AK113" s="276"/>
      <c r="AL113" s="276"/>
      <c r="AM113" s="276"/>
      <c r="AN113" s="276"/>
      <c r="AO113" s="182">
        <f t="shared" si="24"/>
        <v>0</v>
      </c>
      <c r="AP113" s="182">
        <f t="shared" si="25"/>
        <v>0</v>
      </c>
      <c r="AQ113" s="182">
        <f t="shared" si="26"/>
        <v>0</v>
      </c>
      <c r="AR113" s="182">
        <f t="shared" si="27"/>
        <v>0</v>
      </c>
      <c r="AS113" s="182">
        <f t="shared" si="28"/>
        <v>0</v>
      </c>
      <c r="AT113" s="174"/>
      <c r="AU113" s="174"/>
      <c r="AV113" s="182">
        <f t="shared" si="29"/>
        <v>0</v>
      </c>
      <c r="AW113" s="179"/>
    </row>
    <row r="114" spans="1:1018" s="149" customFormat="1">
      <c r="B114" s="278">
        <v>109</v>
      </c>
      <c r="C114" s="273" t="s">
        <v>272</v>
      </c>
      <c r="D114" s="273" t="s">
        <v>360</v>
      </c>
      <c r="E114" s="275" t="s">
        <v>10</v>
      </c>
      <c r="F114" s="271"/>
      <c r="G114" s="272">
        <v>3</v>
      </c>
      <c r="H114" s="272"/>
      <c r="I114" s="182">
        <f t="shared" si="17"/>
        <v>3</v>
      </c>
      <c r="J114" s="276"/>
      <c r="K114" s="276"/>
      <c r="L114" s="276"/>
      <c r="M114" s="276"/>
      <c r="N114" s="276"/>
      <c r="O114" s="276"/>
      <c r="P114" s="276"/>
      <c r="Q114" s="276"/>
      <c r="R114" s="276"/>
      <c r="S114" s="276"/>
      <c r="T114" s="276"/>
      <c r="U114" s="276"/>
      <c r="V114" s="276"/>
      <c r="W114" s="276"/>
      <c r="X114" s="276"/>
      <c r="Y114" s="276"/>
      <c r="Z114" s="276"/>
      <c r="AA114" s="276"/>
      <c r="AB114" s="276"/>
      <c r="AC114" s="276"/>
      <c r="AD114" s="276"/>
      <c r="AE114" s="276"/>
      <c r="AF114" s="276"/>
      <c r="AG114" s="276"/>
      <c r="AH114" s="276"/>
      <c r="AI114" s="276"/>
      <c r="AJ114" s="276"/>
      <c r="AK114" s="276"/>
      <c r="AL114" s="276"/>
      <c r="AM114" s="276"/>
      <c r="AN114" s="276"/>
      <c r="AO114" s="182">
        <f t="shared" si="24"/>
        <v>0</v>
      </c>
      <c r="AP114" s="182">
        <f t="shared" si="25"/>
        <v>3</v>
      </c>
      <c r="AQ114" s="182">
        <f t="shared" si="26"/>
        <v>0</v>
      </c>
      <c r="AR114" s="182">
        <f t="shared" si="27"/>
        <v>0</v>
      </c>
      <c r="AS114" s="182">
        <f t="shared" si="28"/>
        <v>0</v>
      </c>
      <c r="AT114" s="174"/>
      <c r="AU114" s="174"/>
      <c r="AV114" s="182">
        <f t="shared" si="29"/>
        <v>0</v>
      </c>
      <c r="AW114" s="179"/>
    </row>
    <row r="115" spans="1:1018" s="149" customFormat="1">
      <c r="B115" s="278">
        <v>110</v>
      </c>
      <c r="C115" s="273" t="s">
        <v>273</v>
      </c>
      <c r="D115" s="273" t="s">
        <v>360</v>
      </c>
      <c r="E115" s="275" t="s">
        <v>10</v>
      </c>
      <c r="F115" s="271"/>
      <c r="G115" s="272">
        <v>5</v>
      </c>
      <c r="H115" s="272"/>
      <c r="I115" s="182">
        <f t="shared" si="17"/>
        <v>5</v>
      </c>
      <c r="J115" s="276"/>
      <c r="K115" s="276"/>
      <c r="L115" s="276"/>
      <c r="M115" s="276"/>
      <c r="N115" s="276"/>
      <c r="O115" s="276"/>
      <c r="P115" s="276"/>
      <c r="Q115" s="276"/>
      <c r="R115" s="276"/>
      <c r="S115" s="276"/>
      <c r="T115" s="276"/>
      <c r="U115" s="276"/>
      <c r="V115" s="276"/>
      <c r="W115" s="276"/>
      <c r="X115" s="276"/>
      <c r="Y115" s="276"/>
      <c r="Z115" s="276"/>
      <c r="AA115" s="276"/>
      <c r="AB115" s="276"/>
      <c r="AC115" s="276"/>
      <c r="AD115" s="276"/>
      <c r="AE115" s="276"/>
      <c r="AF115" s="276"/>
      <c r="AG115" s="276"/>
      <c r="AH115" s="276"/>
      <c r="AI115" s="276"/>
      <c r="AJ115" s="276"/>
      <c r="AK115" s="276"/>
      <c r="AL115" s="276"/>
      <c r="AM115" s="276"/>
      <c r="AN115" s="276"/>
      <c r="AO115" s="182">
        <f t="shared" si="24"/>
        <v>0</v>
      </c>
      <c r="AP115" s="182">
        <f t="shared" si="25"/>
        <v>5</v>
      </c>
      <c r="AQ115" s="182">
        <f t="shared" si="26"/>
        <v>0</v>
      </c>
      <c r="AR115" s="182">
        <f t="shared" si="27"/>
        <v>0</v>
      </c>
      <c r="AS115" s="182">
        <f t="shared" si="28"/>
        <v>0</v>
      </c>
      <c r="AT115" s="174"/>
      <c r="AU115" s="174"/>
      <c r="AV115" s="182">
        <f t="shared" si="29"/>
        <v>0</v>
      </c>
      <c r="AW115" s="179"/>
    </row>
    <row r="116" spans="1:1018" s="149" customFormat="1">
      <c r="B116" s="278">
        <v>111</v>
      </c>
      <c r="C116" s="280" t="s">
        <v>301</v>
      </c>
      <c r="D116" s="273" t="s">
        <v>360</v>
      </c>
      <c r="E116" s="275" t="s">
        <v>10</v>
      </c>
      <c r="F116" s="271"/>
      <c r="G116" s="272">
        <v>8</v>
      </c>
      <c r="H116" s="272"/>
      <c r="I116" s="182">
        <f t="shared" si="17"/>
        <v>8</v>
      </c>
      <c r="J116" s="276"/>
      <c r="K116" s="276"/>
      <c r="L116" s="276"/>
      <c r="M116" s="276"/>
      <c r="N116" s="276"/>
      <c r="O116" s="276"/>
      <c r="P116" s="276"/>
      <c r="Q116" s="276"/>
      <c r="R116" s="276">
        <v>2</v>
      </c>
      <c r="S116" s="276"/>
      <c r="T116" s="276"/>
      <c r="U116" s="276"/>
      <c r="V116" s="276">
        <v>1</v>
      </c>
      <c r="W116" s="276"/>
      <c r="X116" s="276"/>
      <c r="Y116" s="276"/>
      <c r="Z116" s="276"/>
      <c r="AA116" s="276"/>
      <c r="AB116" s="276"/>
      <c r="AC116" s="276"/>
      <c r="AD116" s="276"/>
      <c r="AE116" s="276"/>
      <c r="AF116" s="276"/>
      <c r="AG116" s="276"/>
      <c r="AH116" s="276"/>
      <c r="AI116" s="276"/>
      <c r="AJ116" s="276"/>
      <c r="AK116" s="276"/>
      <c r="AL116" s="276"/>
      <c r="AM116" s="276"/>
      <c r="AN116" s="276"/>
      <c r="AO116" s="182">
        <f t="shared" si="24"/>
        <v>3</v>
      </c>
      <c r="AP116" s="182">
        <f t="shared" si="25"/>
        <v>5</v>
      </c>
      <c r="AQ116" s="182">
        <f t="shared" si="26"/>
        <v>0</v>
      </c>
      <c r="AR116" s="182">
        <f t="shared" si="27"/>
        <v>0</v>
      </c>
      <c r="AS116" s="182">
        <f t="shared" si="28"/>
        <v>0</v>
      </c>
      <c r="AT116" s="174"/>
      <c r="AU116" s="174"/>
      <c r="AV116" s="182">
        <f t="shared" si="29"/>
        <v>0</v>
      </c>
      <c r="AW116" s="179"/>
    </row>
    <row r="117" spans="1:1018" s="149" customFormat="1">
      <c r="B117" s="278">
        <v>112</v>
      </c>
      <c r="C117" s="280" t="s">
        <v>426</v>
      </c>
      <c r="D117" s="273" t="s">
        <v>360</v>
      </c>
      <c r="E117" s="275" t="s">
        <v>10</v>
      </c>
      <c r="F117" s="271"/>
      <c r="G117" s="272">
        <v>22</v>
      </c>
      <c r="H117" s="272"/>
      <c r="I117" s="182">
        <f t="shared" si="17"/>
        <v>22</v>
      </c>
      <c r="J117" s="276"/>
      <c r="K117" s="276"/>
      <c r="L117" s="276"/>
      <c r="M117" s="276"/>
      <c r="N117" s="276">
        <v>1</v>
      </c>
      <c r="O117" s="276">
        <v>1</v>
      </c>
      <c r="P117" s="276"/>
      <c r="Q117" s="276"/>
      <c r="R117" s="276"/>
      <c r="S117" s="276"/>
      <c r="T117" s="276"/>
      <c r="U117" s="276"/>
      <c r="V117" s="276">
        <v>1</v>
      </c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  <c r="AG117" s="276"/>
      <c r="AH117" s="276"/>
      <c r="AI117" s="276"/>
      <c r="AJ117" s="276"/>
      <c r="AK117" s="276"/>
      <c r="AL117" s="276"/>
      <c r="AM117" s="276"/>
      <c r="AN117" s="276"/>
      <c r="AO117" s="182">
        <f t="shared" si="24"/>
        <v>3</v>
      </c>
      <c r="AP117" s="182">
        <f t="shared" si="25"/>
        <v>19</v>
      </c>
      <c r="AQ117" s="182">
        <f t="shared" si="26"/>
        <v>0</v>
      </c>
      <c r="AR117" s="182">
        <f t="shared" si="27"/>
        <v>0</v>
      </c>
      <c r="AS117" s="182">
        <f t="shared" si="28"/>
        <v>0</v>
      </c>
      <c r="AT117" s="174"/>
      <c r="AU117" s="174"/>
      <c r="AV117" s="182">
        <f t="shared" si="29"/>
        <v>0</v>
      </c>
      <c r="AW117" s="179"/>
    </row>
    <row r="118" spans="1:1018" s="149" customFormat="1">
      <c r="B118" s="278">
        <v>113</v>
      </c>
      <c r="C118" s="280" t="s">
        <v>427</v>
      </c>
      <c r="D118" s="273" t="s">
        <v>360</v>
      </c>
      <c r="E118" s="275" t="s">
        <v>10</v>
      </c>
      <c r="F118" s="271"/>
      <c r="G118" s="272">
        <v>10</v>
      </c>
      <c r="H118" s="272"/>
      <c r="I118" s="182">
        <f t="shared" ref="I118:I121" si="30">H118+G118</f>
        <v>10</v>
      </c>
      <c r="J118" s="276"/>
      <c r="K118" s="276"/>
      <c r="L118" s="276"/>
      <c r="M118" s="276">
        <v>1</v>
      </c>
      <c r="N118" s="276"/>
      <c r="O118" s="276"/>
      <c r="P118" s="276"/>
      <c r="Q118" s="276"/>
      <c r="R118" s="276"/>
      <c r="S118" s="276"/>
      <c r="T118" s="276"/>
      <c r="U118" s="276"/>
      <c r="V118" s="276"/>
      <c r="W118" s="276"/>
      <c r="X118" s="276"/>
      <c r="Y118" s="276"/>
      <c r="Z118" s="276"/>
      <c r="AA118" s="276"/>
      <c r="AB118" s="276"/>
      <c r="AC118" s="276"/>
      <c r="AD118" s="276"/>
      <c r="AE118" s="276"/>
      <c r="AF118" s="276"/>
      <c r="AG118" s="276"/>
      <c r="AH118" s="276"/>
      <c r="AI118" s="276"/>
      <c r="AJ118" s="276"/>
      <c r="AK118" s="276"/>
      <c r="AL118" s="276"/>
      <c r="AM118" s="276"/>
      <c r="AN118" s="276"/>
      <c r="AO118" s="182">
        <f t="shared" si="24"/>
        <v>1</v>
      </c>
      <c r="AP118" s="182">
        <f t="shared" si="25"/>
        <v>9</v>
      </c>
      <c r="AQ118" s="182">
        <f t="shared" si="26"/>
        <v>0</v>
      </c>
      <c r="AR118" s="182">
        <f t="shared" si="27"/>
        <v>0</v>
      </c>
      <c r="AS118" s="182">
        <f t="shared" si="28"/>
        <v>0</v>
      </c>
      <c r="AT118" s="174"/>
      <c r="AU118" s="174"/>
      <c r="AV118" s="182">
        <f t="shared" si="29"/>
        <v>0</v>
      </c>
      <c r="AW118" s="179"/>
    </row>
    <row r="119" spans="1:1018" s="149" customFormat="1">
      <c r="B119" s="278">
        <v>114</v>
      </c>
      <c r="C119" s="280" t="s">
        <v>428</v>
      </c>
      <c r="D119" s="273" t="s">
        <v>360</v>
      </c>
      <c r="E119" s="275" t="s">
        <v>10</v>
      </c>
      <c r="F119" s="271"/>
      <c r="G119" s="272">
        <v>47</v>
      </c>
      <c r="H119" s="272"/>
      <c r="I119" s="182">
        <f t="shared" si="30"/>
        <v>47</v>
      </c>
      <c r="J119" s="276"/>
      <c r="K119" s="276"/>
      <c r="L119" s="276"/>
      <c r="M119" s="276"/>
      <c r="N119" s="276"/>
      <c r="O119" s="276"/>
      <c r="P119" s="276"/>
      <c r="Q119" s="276"/>
      <c r="R119" s="276"/>
      <c r="S119" s="276"/>
      <c r="T119" s="276"/>
      <c r="U119" s="276"/>
      <c r="V119" s="276"/>
      <c r="W119" s="276"/>
      <c r="X119" s="276"/>
      <c r="Y119" s="276"/>
      <c r="Z119" s="276"/>
      <c r="AA119" s="276"/>
      <c r="AB119" s="276"/>
      <c r="AC119" s="276"/>
      <c r="AD119" s="276"/>
      <c r="AE119" s="276"/>
      <c r="AF119" s="276"/>
      <c r="AG119" s="276"/>
      <c r="AH119" s="276"/>
      <c r="AI119" s="276"/>
      <c r="AJ119" s="276"/>
      <c r="AK119" s="276"/>
      <c r="AL119" s="276"/>
      <c r="AM119" s="276"/>
      <c r="AN119" s="276"/>
      <c r="AO119" s="182">
        <f t="shared" si="24"/>
        <v>0</v>
      </c>
      <c r="AP119" s="182">
        <f t="shared" si="25"/>
        <v>47</v>
      </c>
      <c r="AQ119" s="182">
        <f t="shared" si="26"/>
        <v>0</v>
      </c>
      <c r="AR119" s="182">
        <f t="shared" si="27"/>
        <v>0</v>
      </c>
      <c r="AS119" s="182">
        <f t="shared" si="28"/>
        <v>0</v>
      </c>
      <c r="AT119" s="174"/>
      <c r="AU119" s="174"/>
      <c r="AV119" s="182">
        <f t="shared" si="29"/>
        <v>0</v>
      </c>
      <c r="AW119" s="179"/>
    </row>
    <row r="120" spans="1:1018" s="149" customFormat="1">
      <c r="B120" s="278">
        <v>115</v>
      </c>
      <c r="C120" s="280" t="s">
        <v>460</v>
      </c>
      <c r="D120" s="273" t="s">
        <v>360</v>
      </c>
      <c r="E120" s="275" t="s">
        <v>10</v>
      </c>
      <c r="F120" s="271"/>
      <c r="G120" s="272">
        <v>3</v>
      </c>
      <c r="H120" s="272"/>
      <c r="I120" s="182">
        <f t="shared" ref="I120" si="31">H120+G120</f>
        <v>3</v>
      </c>
      <c r="J120" s="276"/>
      <c r="K120" s="276"/>
      <c r="L120" s="276"/>
      <c r="M120" s="276"/>
      <c r="N120" s="276"/>
      <c r="O120" s="276"/>
      <c r="P120" s="276"/>
      <c r="Q120" s="276"/>
      <c r="R120" s="276"/>
      <c r="S120" s="276"/>
      <c r="T120" s="276"/>
      <c r="U120" s="276"/>
      <c r="V120" s="276"/>
      <c r="W120" s="276"/>
      <c r="X120" s="276"/>
      <c r="Y120" s="276"/>
      <c r="Z120" s="276"/>
      <c r="AA120" s="276"/>
      <c r="AB120" s="276"/>
      <c r="AC120" s="276"/>
      <c r="AD120" s="276"/>
      <c r="AE120" s="276"/>
      <c r="AF120" s="276"/>
      <c r="AG120" s="276"/>
      <c r="AH120" s="276"/>
      <c r="AI120" s="276"/>
      <c r="AJ120" s="276"/>
      <c r="AK120" s="276"/>
      <c r="AL120" s="276"/>
      <c r="AM120" s="276"/>
      <c r="AN120" s="276"/>
      <c r="AO120" s="182">
        <f t="shared" ref="AO120" si="32">SUM(J120:AN120)</f>
        <v>0</v>
      </c>
      <c r="AP120" s="182">
        <f t="shared" ref="AP120" si="33">I120-AO120</f>
        <v>3</v>
      </c>
      <c r="AQ120" s="182">
        <f t="shared" ref="AQ120" si="34">AO120*F120</f>
        <v>0</v>
      </c>
      <c r="AR120" s="182">
        <f t="shared" ref="AR120" si="35">AP120*F120</f>
        <v>0</v>
      </c>
      <c r="AS120" s="182">
        <f t="shared" ref="AS120" si="36">H120*F120</f>
        <v>0</v>
      </c>
      <c r="AT120" s="174"/>
      <c r="AU120" s="174"/>
      <c r="AV120" s="182">
        <f t="shared" ref="AV120" si="37">AS120*SUM(AT120:AU120)%+AS120</f>
        <v>0</v>
      </c>
      <c r="AW120" s="179"/>
    </row>
    <row r="121" spans="1:1018" s="149" customFormat="1">
      <c r="B121" s="278">
        <v>116</v>
      </c>
      <c r="C121" s="280" t="s">
        <v>429</v>
      </c>
      <c r="D121" s="273" t="s">
        <v>360</v>
      </c>
      <c r="E121" s="275" t="s">
        <v>430</v>
      </c>
      <c r="F121" s="271"/>
      <c r="G121" s="272">
        <v>0</v>
      </c>
      <c r="H121" s="272">
        <v>1</v>
      </c>
      <c r="I121" s="182">
        <f t="shared" si="30"/>
        <v>1</v>
      </c>
      <c r="J121" s="276"/>
      <c r="K121" s="276"/>
      <c r="L121" s="276"/>
      <c r="M121" s="276"/>
      <c r="N121" s="276">
        <v>1</v>
      </c>
      <c r="O121" s="276"/>
      <c r="P121" s="276"/>
      <c r="Q121" s="276"/>
      <c r="R121" s="276"/>
      <c r="S121" s="276"/>
      <c r="T121" s="276"/>
      <c r="U121" s="276"/>
      <c r="V121" s="276"/>
      <c r="W121" s="276"/>
      <c r="X121" s="276"/>
      <c r="Y121" s="276"/>
      <c r="Z121" s="276"/>
      <c r="AA121" s="276"/>
      <c r="AB121" s="276"/>
      <c r="AC121" s="276"/>
      <c r="AD121" s="276"/>
      <c r="AE121" s="276"/>
      <c r="AF121" s="276"/>
      <c r="AG121" s="276"/>
      <c r="AH121" s="276"/>
      <c r="AI121" s="276"/>
      <c r="AJ121" s="276"/>
      <c r="AK121" s="276"/>
      <c r="AL121" s="276"/>
      <c r="AM121" s="276"/>
      <c r="AN121" s="276"/>
      <c r="AO121" s="182">
        <f t="shared" si="24"/>
        <v>1</v>
      </c>
      <c r="AP121" s="182">
        <f t="shared" si="25"/>
        <v>0</v>
      </c>
      <c r="AQ121" s="182">
        <f t="shared" si="26"/>
        <v>0</v>
      </c>
      <c r="AR121" s="182">
        <f t="shared" si="27"/>
        <v>0</v>
      </c>
      <c r="AS121" s="182">
        <f t="shared" si="28"/>
        <v>0</v>
      </c>
      <c r="AT121" s="174"/>
      <c r="AU121" s="174"/>
      <c r="AV121" s="182">
        <f t="shared" si="29"/>
        <v>0</v>
      </c>
      <c r="AW121" s="179"/>
    </row>
    <row r="122" spans="1:1018" s="149" customFormat="1">
      <c r="B122" s="278">
        <v>117</v>
      </c>
      <c r="C122" s="280" t="s">
        <v>476</v>
      </c>
      <c r="D122" s="273" t="s">
        <v>360</v>
      </c>
      <c r="E122" s="275" t="s">
        <v>10</v>
      </c>
      <c r="F122" s="271"/>
      <c r="G122" s="272">
        <v>20</v>
      </c>
      <c r="H122" s="272"/>
      <c r="I122" s="182">
        <f t="shared" ref="I122" si="38">H122+G122</f>
        <v>20</v>
      </c>
      <c r="J122" s="276"/>
      <c r="K122" s="276"/>
      <c r="L122" s="276"/>
      <c r="M122" s="276"/>
      <c r="N122" s="276"/>
      <c r="O122" s="276"/>
      <c r="P122" s="276"/>
      <c r="Q122" s="276"/>
      <c r="R122" s="276"/>
      <c r="S122" s="276"/>
      <c r="T122" s="276"/>
      <c r="U122" s="276"/>
      <c r="V122" s="276"/>
      <c r="W122" s="276"/>
      <c r="X122" s="276"/>
      <c r="Y122" s="276"/>
      <c r="Z122" s="276"/>
      <c r="AA122" s="276"/>
      <c r="AB122" s="276"/>
      <c r="AC122" s="276"/>
      <c r="AD122" s="276"/>
      <c r="AE122" s="276"/>
      <c r="AF122" s="276"/>
      <c r="AG122" s="276"/>
      <c r="AH122" s="276"/>
      <c r="AI122" s="276"/>
      <c r="AJ122" s="276"/>
      <c r="AK122" s="276"/>
      <c r="AL122" s="276"/>
      <c r="AM122" s="276"/>
      <c r="AN122" s="276"/>
      <c r="AO122" s="182">
        <f t="shared" ref="AO122" si="39">SUM(J122:AN122)</f>
        <v>0</v>
      </c>
      <c r="AP122" s="182">
        <f t="shared" ref="AP122" si="40">I122-AO122</f>
        <v>20</v>
      </c>
      <c r="AQ122" s="182">
        <f t="shared" ref="AQ122" si="41">AO122*F122</f>
        <v>0</v>
      </c>
      <c r="AR122" s="182">
        <f t="shared" ref="AR122" si="42">AP122*F122</f>
        <v>0</v>
      </c>
      <c r="AS122" s="182">
        <f t="shared" ref="AS122" si="43">H122*F122</f>
        <v>0</v>
      </c>
      <c r="AT122" s="174"/>
      <c r="AU122" s="174"/>
      <c r="AV122" s="182">
        <f t="shared" ref="AV122" si="44">AS122*SUM(AT122:AU122)%+AS122</f>
        <v>0</v>
      </c>
      <c r="AW122" s="179"/>
    </row>
    <row r="123" spans="1:1018" s="149" customFormat="1" ht="12.75">
      <c r="B123" s="173"/>
      <c r="C123" s="169" t="s">
        <v>52</v>
      </c>
      <c r="D123" s="169"/>
      <c r="E123" s="180"/>
      <c r="F123" s="180"/>
      <c r="G123" s="176">
        <f>SUM(G6:G121)</f>
        <v>1263</v>
      </c>
      <c r="H123" s="176">
        <f>SUM(H6:H121)</f>
        <v>81</v>
      </c>
      <c r="I123" s="176">
        <f>SUM(I6:I121)</f>
        <v>1344</v>
      </c>
      <c r="J123" s="176">
        <f>SUM(J6:J122)</f>
        <v>0</v>
      </c>
      <c r="K123" s="176">
        <f t="shared" ref="K123:AN123" si="45">SUM(K6:K122)</f>
        <v>18</v>
      </c>
      <c r="L123" s="176">
        <f t="shared" si="45"/>
        <v>1</v>
      </c>
      <c r="M123" s="176">
        <f t="shared" si="45"/>
        <v>8</v>
      </c>
      <c r="N123" s="176">
        <f t="shared" si="45"/>
        <v>106</v>
      </c>
      <c r="O123" s="176">
        <f t="shared" si="45"/>
        <v>2</v>
      </c>
      <c r="P123" s="176">
        <f t="shared" si="45"/>
        <v>0</v>
      </c>
      <c r="Q123" s="176">
        <f t="shared" si="45"/>
        <v>1</v>
      </c>
      <c r="R123" s="176">
        <f t="shared" si="45"/>
        <v>10</v>
      </c>
      <c r="S123" s="176">
        <f t="shared" si="45"/>
        <v>4</v>
      </c>
      <c r="T123" s="176">
        <f t="shared" si="45"/>
        <v>0</v>
      </c>
      <c r="U123" s="176">
        <f t="shared" si="45"/>
        <v>2</v>
      </c>
      <c r="V123" s="176">
        <f t="shared" si="45"/>
        <v>7</v>
      </c>
      <c r="W123" s="176">
        <f t="shared" si="45"/>
        <v>1</v>
      </c>
      <c r="X123" s="176">
        <f t="shared" si="45"/>
        <v>0</v>
      </c>
      <c r="Y123" s="176">
        <f t="shared" si="45"/>
        <v>22</v>
      </c>
      <c r="Z123" s="176">
        <f t="shared" si="45"/>
        <v>1</v>
      </c>
      <c r="AA123" s="176">
        <f t="shared" si="45"/>
        <v>0</v>
      </c>
      <c r="AB123" s="176">
        <f t="shared" si="45"/>
        <v>0</v>
      </c>
      <c r="AC123" s="176">
        <f t="shared" si="45"/>
        <v>0</v>
      </c>
      <c r="AD123" s="176">
        <f t="shared" si="45"/>
        <v>0</v>
      </c>
      <c r="AE123" s="176">
        <f t="shared" si="45"/>
        <v>0</v>
      </c>
      <c r="AF123" s="176">
        <f t="shared" si="45"/>
        <v>0</v>
      </c>
      <c r="AG123" s="176">
        <f t="shared" si="45"/>
        <v>0</v>
      </c>
      <c r="AH123" s="176">
        <f t="shared" si="45"/>
        <v>0</v>
      </c>
      <c r="AI123" s="176">
        <f t="shared" si="45"/>
        <v>0</v>
      </c>
      <c r="AJ123" s="176">
        <f t="shared" si="45"/>
        <v>0</v>
      </c>
      <c r="AK123" s="176">
        <f t="shared" si="45"/>
        <v>0</v>
      </c>
      <c r="AL123" s="176">
        <f t="shared" si="45"/>
        <v>0</v>
      </c>
      <c r="AM123" s="176">
        <f t="shared" si="45"/>
        <v>0</v>
      </c>
      <c r="AN123" s="176">
        <f t="shared" si="45"/>
        <v>0</v>
      </c>
      <c r="AO123" s="176">
        <f>SUM(AO6:AO122)</f>
        <v>183</v>
      </c>
      <c r="AP123" s="176">
        <f t="shared" ref="AP123:AV123" si="46">SUM(AP6:AP122)</f>
        <v>1181</v>
      </c>
      <c r="AQ123" s="176">
        <f t="shared" si="46"/>
        <v>4216</v>
      </c>
      <c r="AR123" s="176">
        <f t="shared" si="46"/>
        <v>16182.1</v>
      </c>
      <c r="AS123" s="176">
        <f t="shared" si="46"/>
        <v>4248</v>
      </c>
      <c r="AT123" s="176">
        <f t="shared" si="46"/>
        <v>0</v>
      </c>
      <c r="AU123" s="176">
        <f t="shared" si="46"/>
        <v>0</v>
      </c>
      <c r="AV123" s="176">
        <f t="shared" si="46"/>
        <v>4248</v>
      </c>
      <c r="AW123" s="176">
        <f>SUM(AW6:AW121)</f>
        <v>0</v>
      </c>
    </row>
    <row r="124" spans="1:1018" s="149" customFormat="1">
      <c r="A124" s="178"/>
      <c r="C124" s="150"/>
      <c r="D124" s="150"/>
      <c r="E124" s="150"/>
      <c r="F124" s="151"/>
      <c r="G124" s="152"/>
      <c r="H124" s="151"/>
      <c r="AK124" s="153"/>
      <c r="AP124" s="151"/>
    </row>
    <row r="125" spans="1:1018" s="149" customFormat="1">
      <c r="A125" s="178"/>
      <c r="C125" s="150"/>
      <c r="D125" s="150"/>
      <c r="E125" s="150"/>
      <c r="F125" s="151"/>
      <c r="G125" s="152"/>
      <c r="H125" s="151"/>
      <c r="AK125" s="153"/>
      <c r="AP125" s="151"/>
    </row>
    <row r="126" spans="1:1018" s="149" customFormat="1">
      <c r="A126" s="178"/>
      <c r="C126" s="150"/>
      <c r="D126" s="150"/>
      <c r="E126" s="150"/>
      <c r="F126" s="151"/>
      <c r="G126" s="152"/>
      <c r="H126" s="151"/>
      <c r="AK126" s="153"/>
      <c r="AP126" s="151"/>
    </row>
    <row r="127" spans="1:1018" s="149" customFormat="1">
      <c r="A127" s="178"/>
      <c r="C127" s="150"/>
      <c r="D127" s="150"/>
      <c r="E127" s="150"/>
      <c r="F127" s="151"/>
      <c r="G127" s="152"/>
      <c r="H127" s="151"/>
      <c r="AK127" s="153"/>
      <c r="AP127" s="151"/>
    </row>
    <row r="128" spans="1:1018" s="151" customFormat="1" hidden="1">
      <c r="A128" s="178"/>
      <c r="B128" s="149"/>
      <c r="C128" s="150"/>
      <c r="D128" s="150"/>
      <c r="E128" s="150"/>
      <c r="G128" s="152">
        <v>9</v>
      </c>
      <c r="I128" s="149"/>
      <c r="J128" s="149"/>
      <c r="K128" s="149"/>
      <c r="L128" s="149"/>
      <c r="M128" s="149"/>
      <c r="N128" s="149"/>
      <c r="O128" s="149"/>
      <c r="P128" s="149"/>
      <c r="Q128" s="149"/>
      <c r="R128" s="149"/>
      <c r="S128" s="149"/>
      <c r="T128" s="149"/>
      <c r="U128" s="149"/>
      <c r="V128" s="149"/>
      <c r="W128" s="149"/>
      <c r="X128" s="149"/>
      <c r="Y128" s="149"/>
      <c r="Z128" s="149"/>
      <c r="AA128" s="149"/>
      <c r="AB128" s="149"/>
      <c r="AC128" s="149"/>
      <c r="AD128" s="149"/>
      <c r="AE128" s="149"/>
      <c r="AF128" s="149"/>
      <c r="AG128" s="149"/>
      <c r="AH128" s="149"/>
      <c r="AI128" s="149"/>
      <c r="AJ128" s="149"/>
      <c r="AK128" s="153"/>
      <c r="AL128" s="149"/>
      <c r="AM128" s="149"/>
      <c r="AN128" s="149"/>
      <c r="AO128" s="149"/>
      <c r="AQ128" s="149"/>
      <c r="AR128" s="149"/>
      <c r="AS128" s="149"/>
      <c r="AT128" s="149"/>
      <c r="AU128" s="149"/>
      <c r="AV128" s="149"/>
      <c r="AW128" s="149"/>
      <c r="AX128" s="149"/>
      <c r="AY128" s="149"/>
      <c r="AZ128" s="149"/>
      <c r="BA128" s="149"/>
      <c r="BB128" s="149"/>
      <c r="BC128" s="149"/>
      <c r="BD128" s="149"/>
      <c r="BE128" s="149"/>
      <c r="BF128" s="149"/>
      <c r="BG128" s="149"/>
      <c r="BH128" s="149"/>
      <c r="BI128" s="149"/>
      <c r="BJ128" s="149"/>
      <c r="BK128" s="149"/>
      <c r="BL128" s="149"/>
      <c r="BM128" s="149"/>
      <c r="BN128" s="149"/>
      <c r="BO128" s="149"/>
      <c r="BP128" s="149"/>
      <c r="BQ128" s="149"/>
      <c r="BR128" s="149"/>
      <c r="BS128" s="149"/>
      <c r="BT128" s="149"/>
      <c r="BU128" s="149"/>
      <c r="BV128" s="149"/>
      <c r="BW128" s="149"/>
      <c r="BX128" s="149"/>
      <c r="BY128" s="149"/>
      <c r="BZ128" s="149"/>
      <c r="CA128" s="149"/>
      <c r="CB128" s="149"/>
      <c r="CC128" s="149"/>
      <c r="CD128" s="149"/>
      <c r="CE128" s="149"/>
      <c r="CF128" s="149"/>
      <c r="CG128" s="149"/>
      <c r="CH128" s="149"/>
      <c r="CI128" s="149"/>
      <c r="CJ128" s="149"/>
      <c r="CK128" s="149"/>
      <c r="CL128" s="149"/>
      <c r="CM128" s="149"/>
      <c r="CN128" s="149"/>
      <c r="CO128" s="149"/>
      <c r="CP128" s="149"/>
      <c r="CQ128" s="149"/>
      <c r="CR128" s="149"/>
      <c r="CS128" s="149"/>
      <c r="CT128" s="149"/>
      <c r="CU128" s="149"/>
      <c r="CV128" s="149"/>
      <c r="CW128" s="149"/>
      <c r="CX128" s="149"/>
      <c r="CY128" s="149"/>
      <c r="CZ128" s="149"/>
      <c r="DA128" s="149"/>
      <c r="DB128" s="149"/>
      <c r="DC128" s="149"/>
      <c r="DD128" s="149"/>
      <c r="DE128" s="149"/>
      <c r="DF128" s="149"/>
      <c r="DG128" s="149"/>
      <c r="DH128" s="149"/>
      <c r="DI128" s="149"/>
      <c r="DJ128" s="149"/>
      <c r="DK128" s="149"/>
      <c r="DL128" s="149"/>
      <c r="DM128" s="149"/>
      <c r="DN128" s="149"/>
      <c r="DO128" s="149"/>
      <c r="DP128" s="149"/>
      <c r="DQ128" s="149"/>
      <c r="DR128" s="149"/>
      <c r="DS128" s="149"/>
      <c r="DT128" s="149"/>
      <c r="DU128" s="149"/>
      <c r="DV128" s="149"/>
      <c r="DW128" s="149"/>
      <c r="DX128" s="149"/>
      <c r="DY128" s="149"/>
      <c r="DZ128" s="149"/>
      <c r="EA128" s="149"/>
      <c r="EB128" s="149"/>
      <c r="EC128" s="149"/>
      <c r="ED128" s="149"/>
      <c r="EE128" s="149"/>
      <c r="EF128" s="149"/>
      <c r="EG128" s="149"/>
      <c r="EH128" s="149"/>
      <c r="EI128" s="149"/>
      <c r="EJ128" s="149"/>
      <c r="EK128" s="149"/>
      <c r="EL128" s="149"/>
      <c r="EM128" s="149"/>
      <c r="EN128" s="149"/>
      <c r="EO128" s="149"/>
      <c r="EP128" s="149"/>
      <c r="EQ128" s="149"/>
      <c r="ER128" s="149"/>
      <c r="ES128" s="149"/>
      <c r="ET128" s="149"/>
      <c r="EU128" s="149"/>
      <c r="EV128" s="149"/>
      <c r="EW128" s="149"/>
      <c r="EX128" s="149"/>
      <c r="EY128" s="149"/>
      <c r="EZ128" s="149"/>
      <c r="FA128" s="149"/>
      <c r="FB128" s="149"/>
      <c r="FC128" s="149"/>
      <c r="FD128" s="149"/>
      <c r="FE128" s="149"/>
      <c r="FF128" s="149"/>
      <c r="FG128" s="149"/>
      <c r="FH128" s="149"/>
      <c r="FI128" s="149"/>
      <c r="FJ128" s="149"/>
      <c r="FK128" s="149"/>
      <c r="FL128" s="149"/>
      <c r="FM128" s="149"/>
      <c r="FN128" s="149"/>
      <c r="FO128" s="149"/>
      <c r="FP128" s="149"/>
      <c r="FQ128" s="149"/>
      <c r="FR128" s="149"/>
      <c r="FS128" s="149"/>
      <c r="FT128" s="149"/>
      <c r="FU128" s="149"/>
      <c r="FV128" s="149"/>
      <c r="FW128" s="149"/>
      <c r="FX128" s="149"/>
      <c r="FY128" s="149"/>
      <c r="FZ128" s="149"/>
      <c r="GA128" s="149"/>
      <c r="GB128" s="149"/>
      <c r="GC128" s="149"/>
      <c r="GD128" s="149"/>
      <c r="GE128" s="149"/>
      <c r="GF128" s="149"/>
      <c r="GG128" s="149"/>
      <c r="GH128" s="149"/>
      <c r="GI128" s="149"/>
      <c r="GJ128" s="149"/>
      <c r="GK128" s="149"/>
      <c r="GL128" s="149"/>
      <c r="GM128" s="149"/>
      <c r="GN128" s="149"/>
      <c r="GO128" s="149"/>
      <c r="GP128" s="149"/>
      <c r="GQ128" s="149"/>
      <c r="GR128" s="149"/>
      <c r="GS128" s="149"/>
      <c r="GT128" s="149"/>
      <c r="GU128" s="149"/>
      <c r="GV128" s="149"/>
      <c r="GW128" s="149"/>
      <c r="GX128" s="149"/>
      <c r="GY128" s="149"/>
      <c r="GZ128" s="149"/>
      <c r="HA128" s="149"/>
      <c r="HB128" s="149"/>
      <c r="HC128" s="149"/>
      <c r="HD128" s="149"/>
      <c r="HE128" s="149"/>
      <c r="HF128" s="149"/>
      <c r="HG128" s="149"/>
      <c r="HH128" s="149"/>
      <c r="HI128" s="149"/>
      <c r="HJ128" s="149"/>
      <c r="HK128" s="149"/>
      <c r="HL128" s="149"/>
      <c r="HM128" s="149"/>
      <c r="HN128" s="149"/>
      <c r="HO128" s="149"/>
      <c r="HP128" s="149"/>
      <c r="HQ128" s="149"/>
      <c r="HR128" s="149"/>
      <c r="HS128" s="149"/>
      <c r="HT128" s="149"/>
      <c r="HU128" s="149"/>
      <c r="HV128" s="149"/>
      <c r="HW128" s="149"/>
      <c r="HX128" s="149"/>
      <c r="HY128" s="149"/>
      <c r="HZ128" s="149"/>
      <c r="IA128" s="149"/>
      <c r="IB128" s="149"/>
      <c r="IC128" s="149"/>
      <c r="ID128" s="149"/>
      <c r="IE128" s="149"/>
      <c r="IF128" s="149"/>
      <c r="IG128" s="149"/>
      <c r="IH128" s="149"/>
      <c r="II128" s="149"/>
      <c r="IJ128" s="149"/>
      <c r="IK128" s="149"/>
      <c r="IL128" s="149"/>
      <c r="IM128" s="149"/>
      <c r="IN128" s="149"/>
      <c r="IO128" s="149"/>
      <c r="IP128" s="149"/>
      <c r="IQ128" s="149"/>
      <c r="IR128" s="149"/>
      <c r="IS128" s="149"/>
      <c r="IT128" s="149"/>
      <c r="IU128" s="149"/>
      <c r="IV128" s="149"/>
      <c r="IW128" s="149"/>
      <c r="IX128" s="149"/>
      <c r="IY128" s="149"/>
      <c r="IZ128" s="149"/>
      <c r="JA128" s="149"/>
      <c r="JB128" s="149"/>
      <c r="JC128" s="149"/>
      <c r="JD128" s="149"/>
      <c r="JE128" s="149"/>
      <c r="JF128" s="149"/>
      <c r="JG128" s="149"/>
      <c r="JH128" s="149"/>
      <c r="JI128" s="149"/>
      <c r="JJ128" s="149"/>
      <c r="JK128" s="149"/>
      <c r="JL128" s="149"/>
      <c r="JM128" s="149"/>
      <c r="JN128" s="149"/>
      <c r="JO128" s="149"/>
      <c r="JP128" s="149"/>
      <c r="JQ128" s="149"/>
      <c r="JR128" s="149"/>
      <c r="JS128" s="149"/>
      <c r="JT128" s="149"/>
      <c r="JU128" s="149"/>
      <c r="JV128" s="149"/>
      <c r="JW128" s="149"/>
      <c r="JX128" s="149"/>
      <c r="JY128" s="149"/>
      <c r="JZ128" s="149"/>
      <c r="KA128" s="149"/>
      <c r="KB128" s="149"/>
      <c r="KC128" s="149"/>
      <c r="KD128" s="149"/>
      <c r="KE128" s="149"/>
      <c r="KF128" s="149"/>
      <c r="KG128" s="149"/>
      <c r="KH128" s="149"/>
      <c r="KI128" s="149"/>
      <c r="KJ128" s="149"/>
      <c r="KK128" s="149"/>
      <c r="KL128" s="149"/>
      <c r="KM128" s="149"/>
      <c r="KN128" s="149"/>
      <c r="KO128" s="149"/>
      <c r="KP128" s="149"/>
      <c r="KQ128" s="149"/>
      <c r="KR128" s="149"/>
      <c r="KS128" s="149"/>
      <c r="KT128" s="149"/>
      <c r="KU128" s="149"/>
      <c r="KV128" s="149"/>
      <c r="KW128" s="149"/>
      <c r="KX128" s="149"/>
      <c r="KY128" s="149"/>
      <c r="KZ128" s="149"/>
      <c r="LA128" s="149"/>
      <c r="LB128" s="149"/>
      <c r="LC128" s="149"/>
      <c r="LD128" s="149"/>
      <c r="LE128" s="149"/>
      <c r="LF128" s="149"/>
      <c r="LG128" s="149"/>
      <c r="LH128" s="149"/>
      <c r="LI128" s="149"/>
      <c r="LJ128" s="149"/>
      <c r="LK128" s="149"/>
      <c r="LL128" s="149"/>
      <c r="LM128" s="149"/>
      <c r="LN128" s="149"/>
      <c r="LO128" s="149"/>
      <c r="LP128" s="149"/>
      <c r="LQ128" s="149"/>
      <c r="LR128" s="149"/>
      <c r="LS128" s="149"/>
      <c r="LT128" s="149"/>
      <c r="LU128" s="149"/>
      <c r="LV128" s="149"/>
      <c r="LW128" s="149"/>
      <c r="LX128" s="149"/>
      <c r="LY128" s="149"/>
      <c r="LZ128" s="149"/>
      <c r="MA128" s="149"/>
      <c r="MB128" s="149"/>
      <c r="MC128" s="149"/>
      <c r="MD128" s="149"/>
      <c r="ME128" s="149"/>
      <c r="MF128" s="149"/>
      <c r="MG128" s="149"/>
      <c r="MH128" s="149"/>
      <c r="MI128" s="149"/>
      <c r="MJ128" s="149"/>
      <c r="MK128" s="149"/>
      <c r="ML128" s="149"/>
      <c r="MM128" s="149"/>
      <c r="MN128" s="149"/>
      <c r="MO128" s="149"/>
      <c r="MP128" s="149"/>
      <c r="MQ128" s="149"/>
      <c r="MR128" s="149"/>
      <c r="MS128" s="149"/>
      <c r="MT128" s="149"/>
      <c r="MU128" s="149"/>
      <c r="MV128" s="149"/>
      <c r="MW128" s="149"/>
      <c r="MX128" s="149"/>
      <c r="MY128" s="149"/>
      <c r="MZ128" s="149"/>
      <c r="NA128" s="149"/>
      <c r="NB128" s="149"/>
      <c r="NC128" s="149"/>
      <c r="ND128" s="149"/>
      <c r="NE128" s="149"/>
      <c r="NF128" s="149"/>
      <c r="NG128" s="149"/>
      <c r="NH128" s="149"/>
      <c r="NI128" s="149"/>
      <c r="NJ128" s="149"/>
      <c r="NK128" s="149"/>
      <c r="NL128" s="149"/>
      <c r="NM128" s="149"/>
      <c r="NN128" s="149"/>
      <c r="NO128" s="149"/>
      <c r="NP128" s="149"/>
      <c r="NQ128" s="149"/>
      <c r="NR128" s="149"/>
      <c r="NS128" s="149"/>
      <c r="NT128" s="149"/>
      <c r="NU128" s="149"/>
      <c r="NV128" s="149"/>
      <c r="NW128" s="149"/>
      <c r="NX128" s="149"/>
      <c r="NY128" s="149"/>
      <c r="NZ128" s="149"/>
      <c r="OA128" s="149"/>
      <c r="OB128" s="149"/>
      <c r="OC128" s="149"/>
      <c r="OD128" s="149"/>
      <c r="OE128" s="149"/>
      <c r="OF128" s="149"/>
      <c r="OG128" s="149"/>
      <c r="OH128" s="149"/>
      <c r="OI128" s="149"/>
      <c r="OJ128" s="149"/>
      <c r="OK128" s="149"/>
      <c r="OL128" s="149"/>
      <c r="OM128" s="149"/>
      <c r="ON128" s="149"/>
      <c r="OO128" s="149"/>
      <c r="OP128" s="149"/>
      <c r="OQ128" s="149"/>
      <c r="OR128" s="149"/>
      <c r="OS128" s="149"/>
      <c r="OT128" s="149"/>
      <c r="OU128" s="149"/>
      <c r="OV128" s="149"/>
      <c r="OW128" s="149"/>
      <c r="OX128" s="149"/>
      <c r="OY128" s="149"/>
      <c r="OZ128" s="149"/>
      <c r="PA128" s="149"/>
      <c r="PB128" s="149"/>
      <c r="PC128" s="149"/>
      <c r="PD128" s="149"/>
      <c r="PE128" s="149"/>
      <c r="PF128" s="149"/>
      <c r="PG128" s="149"/>
      <c r="PH128" s="149"/>
      <c r="PI128" s="149"/>
      <c r="PJ128" s="149"/>
      <c r="PK128" s="149"/>
      <c r="PL128" s="149"/>
      <c r="PM128" s="149"/>
      <c r="PN128" s="149"/>
      <c r="PO128" s="149"/>
      <c r="PP128" s="149"/>
      <c r="PQ128" s="149"/>
      <c r="PR128" s="149"/>
      <c r="PS128" s="149"/>
      <c r="PT128" s="149"/>
      <c r="PU128" s="149"/>
      <c r="PV128" s="149"/>
      <c r="PW128" s="149"/>
      <c r="PX128" s="149"/>
      <c r="PY128" s="149"/>
      <c r="PZ128" s="149"/>
      <c r="QA128" s="149"/>
      <c r="QB128" s="149"/>
      <c r="QC128" s="149"/>
      <c r="QD128" s="149"/>
      <c r="QE128" s="149"/>
      <c r="QF128" s="149"/>
      <c r="QG128" s="149"/>
      <c r="QH128" s="149"/>
      <c r="QI128" s="149"/>
      <c r="QJ128" s="149"/>
      <c r="QK128" s="149"/>
      <c r="QL128" s="149"/>
      <c r="QM128" s="149"/>
      <c r="QN128" s="149"/>
      <c r="QO128" s="149"/>
      <c r="QP128" s="149"/>
      <c r="QQ128" s="149"/>
      <c r="QR128" s="149"/>
      <c r="QS128" s="149"/>
      <c r="QT128" s="149"/>
      <c r="QU128" s="149"/>
      <c r="QV128" s="149"/>
      <c r="QW128" s="149"/>
      <c r="QX128" s="149"/>
      <c r="QY128" s="149"/>
      <c r="QZ128" s="149"/>
      <c r="RA128" s="149"/>
      <c r="RB128" s="149"/>
      <c r="RC128" s="149"/>
      <c r="RD128" s="149"/>
      <c r="RE128" s="149"/>
      <c r="RF128" s="149"/>
      <c r="RG128" s="149"/>
      <c r="RH128" s="149"/>
      <c r="RI128" s="149"/>
      <c r="RJ128" s="149"/>
      <c r="RK128" s="149"/>
      <c r="RL128" s="149"/>
      <c r="RM128" s="149"/>
      <c r="RN128" s="149"/>
      <c r="RO128" s="149"/>
      <c r="RP128" s="149"/>
      <c r="RQ128" s="149"/>
      <c r="RR128" s="149"/>
      <c r="RS128" s="149"/>
      <c r="RT128" s="149"/>
      <c r="RU128" s="149"/>
      <c r="RV128" s="149"/>
      <c r="RW128" s="149"/>
      <c r="RX128" s="149"/>
      <c r="RY128" s="149"/>
      <c r="RZ128" s="149"/>
      <c r="SA128" s="149"/>
      <c r="SB128" s="149"/>
      <c r="SC128" s="149"/>
      <c r="SD128" s="149"/>
      <c r="SE128" s="149"/>
      <c r="SF128" s="149"/>
      <c r="SG128" s="149"/>
      <c r="SH128" s="149"/>
      <c r="SI128" s="149"/>
      <c r="SJ128" s="149"/>
      <c r="SK128" s="149"/>
      <c r="SL128" s="149"/>
      <c r="SM128" s="149"/>
      <c r="SN128" s="149"/>
      <c r="SO128" s="149"/>
      <c r="SP128" s="149"/>
      <c r="SQ128" s="149"/>
      <c r="SR128" s="149"/>
      <c r="SS128" s="149"/>
      <c r="ST128" s="149"/>
      <c r="SU128" s="149"/>
      <c r="SV128" s="149"/>
      <c r="SW128" s="149"/>
      <c r="SX128" s="149"/>
      <c r="SY128" s="149"/>
      <c r="SZ128" s="149"/>
      <c r="TA128" s="149"/>
      <c r="TB128" s="149"/>
      <c r="TC128" s="149"/>
      <c r="TD128" s="149"/>
      <c r="TE128" s="149"/>
      <c r="TF128" s="149"/>
      <c r="TG128" s="149"/>
      <c r="TH128" s="149"/>
      <c r="TI128" s="149"/>
      <c r="TJ128" s="149"/>
      <c r="TK128" s="149"/>
      <c r="TL128" s="149"/>
      <c r="TM128" s="149"/>
      <c r="TN128" s="149"/>
      <c r="TO128" s="149"/>
      <c r="TP128" s="149"/>
      <c r="TQ128" s="149"/>
      <c r="TR128" s="149"/>
      <c r="TS128" s="149"/>
      <c r="TT128" s="149"/>
      <c r="TU128" s="149"/>
      <c r="TV128" s="149"/>
      <c r="TW128" s="149"/>
      <c r="TX128" s="149"/>
      <c r="TY128" s="149"/>
      <c r="TZ128" s="149"/>
      <c r="UA128" s="149"/>
      <c r="UB128" s="149"/>
      <c r="UC128" s="149"/>
      <c r="UD128" s="149"/>
      <c r="UE128" s="149"/>
      <c r="UF128" s="149"/>
      <c r="UG128" s="149"/>
      <c r="UH128" s="149"/>
      <c r="UI128" s="149"/>
      <c r="UJ128" s="149"/>
      <c r="UK128" s="149"/>
      <c r="UL128" s="149"/>
      <c r="UM128" s="149"/>
      <c r="UN128" s="149"/>
      <c r="UO128" s="149"/>
      <c r="UP128" s="149"/>
      <c r="UQ128" s="149"/>
      <c r="UR128" s="149"/>
      <c r="US128" s="149"/>
      <c r="UT128" s="149"/>
      <c r="UU128" s="149"/>
      <c r="UV128" s="149"/>
      <c r="UW128" s="149"/>
      <c r="UX128" s="149"/>
      <c r="UY128" s="149"/>
      <c r="UZ128" s="149"/>
      <c r="VA128" s="149"/>
      <c r="VB128" s="149"/>
      <c r="VC128" s="149"/>
      <c r="VD128" s="149"/>
      <c r="VE128" s="149"/>
      <c r="VF128" s="149"/>
      <c r="VG128" s="149"/>
      <c r="VH128" s="149"/>
      <c r="VI128" s="149"/>
      <c r="VJ128" s="149"/>
      <c r="VK128" s="149"/>
      <c r="VL128" s="149"/>
      <c r="VM128" s="149"/>
      <c r="VN128" s="149"/>
      <c r="VO128" s="149"/>
      <c r="VP128" s="149"/>
      <c r="VQ128" s="149"/>
      <c r="VR128" s="149"/>
      <c r="VS128" s="149"/>
      <c r="VT128" s="149"/>
      <c r="VU128" s="149"/>
      <c r="VV128" s="149"/>
      <c r="VW128" s="149"/>
      <c r="VX128" s="149"/>
      <c r="VY128" s="149"/>
      <c r="VZ128" s="149"/>
      <c r="WA128" s="149"/>
      <c r="WB128" s="149"/>
      <c r="WC128" s="149"/>
      <c r="WD128" s="149"/>
      <c r="WE128" s="149"/>
      <c r="WF128" s="149"/>
      <c r="WG128" s="149"/>
      <c r="WH128" s="149"/>
      <c r="WI128" s="149"/>
      <c r="WJ128" s="149"/>
      <c r="WK128" s="149"/>
      <c r="WL128" s="149"/>
      <c r="WM128" s="149"/>
      <c r="WN128" s="149"/>
      <c r="WO128" s="149"/>
      <c r="WP128" s="149"/>
      <c r="WQ128" s="149"/>
      <c r="WR128" s="149"/>
      <c r="WS128" s="149"/>
      <c r="WT128" s="149"/>
      <c r="WU128" s="149"/>
      <c r="WV128" s="149"/>
      <c r="WW128" s="149"/>
      <c r="WX128" s="149"/>
      <c r="WY128" s="149"/>
      <c r="WZ128" s="149"/>
      <c r="XA128" s="149"/>
      <c r="XB128" s="149"/>
      <c r="XC128" s="149"/>
      <c r="XD128" s="149"/>
      <c r="XE128" s="149"/>
      <c r="XF128" s="149"/>
      <c r="XG128" s="149"/>
      <c r="XH128" s="149"/>
      <c r="XI128" s="149"/>
      <c r="XJ128" s="149"/>
      <c r="XK128" s="149"/>
      <c r="XL128" s="149"/>
      <c r="XM128" s="149"/>
      <c r="XN128" s="149"/>
      <c r="XO128" s="149"/>
      <c r="XP128" s="149"/>
      <c r="XQ128" s="149"/>
      <c r="XR128" s="149"/>
      <c r="XS128" s="149"/>
      <c r="XT128" s="149"/>
      <c r="XU128" s="149"/>
      <c r="XV128" s="149"/>
      <c r="XW128" s="149"/>
      <c r="XX128" s="149"/>
      <c r="XY128" s="149"/>
      <c r="XZ128" s="149"/>
      <c r="YA128" s="149"/>
      <c r="YB128" s="149"/>
      <c r="YC128" s="149"/>
      <c r="YD128" s="149"/>
      <c r="YE128" s="149"/>
      <c r="YF128" s="149"/>
      <c r="YG128" s="149"/>
      <c r="YH128" s="149"/>
      <c r="YI128" s="149"/>
      <c r="YJ128" s="149"/>
      <c r="YK128" s="149"/>
      <c r="YL128" s="149"/>
      <c r="YM128" s="149"/>
      <c r="YN128" s="149"/>
      <c r="YO128" s="149"/>
      <c r="YP128" s="149"/>
      <c r="YQ128" s="149"/>
      <c r="YR128" s="149"/>
      <c r="YS128" s="149"/>
      <c r="YT128" s="149"/>
      <c r="YU128" s="149"/>
      <c r="YV128" s="149"/>
      <c r="YW128" s="149"/>
      <c r="YX128" s="149"/>
      <c r="YY128" s="149"/>
      <c r="YZ128" s="149"/>
      <c r="ZA128" s="149"/>
      <c r="ZB128" s="149"/>
      <c r="ZC128" s="149"/>
      <c r="ZD128" s="149"/>
      <c r="ZE128" s="149"/>
      <c r="ZF128" s="149"/>
      <c r="ZG128" s="149"/>
      <c r="ZH128" s="149"/>
      <c r="ZI128" s="149"/>
      <c r="ZJ128" s="149"/>
      <c r="ZK128" s="149"/>
      <c r="ZL128" s="149"/>
      <c r="ZM128" s="149"/>
      <c r="ZN128" s="149"/>
      <c r="ZO128" s="149"/>
      <c r="ZP128" s="149"/>
      <c r="ZQ128" s="149"/>
      <c r="ZR128" s="149"/>
      <c r="ZS128" s="149"/>
      <c r="ZT128" s="149"/>
      <c r="ZU128" s="149"/>
      <c r="ZV128" s="149"/>
      <c r="ZW128" s="149"/>
      <c r="ZX128" s="149"/>
      <c r="ZY128" s="149"/>
      <c r="ZZ128" s="149"/>
      <c r="AAA128" s="149"/>
      <c r="AAB128" s="149"/>
      <c r="AAC128" s="149"/>
      <c r="AAD128" s="149"/>
      <c r="AAE128" s="149"/>
      <c r="AAF128" s="149"/>
      <c r="AAG128" s="149"/>
      <c r="AAH128" s="149"/>
      <c r="AAI128" s="149"/>
      <c r="AAJ128" s="149"/>
      <c r="AAK128" s="149"/>
      <c r="AAL128" s="149"/>
      <c r="AAM128" s="149"/>
      <c r="AAN128" s="149"/>
      <c r="AAO128" s="149"/>
      <c r="AAP128" s="149"/>
      <c r="AAQ128" s="149"/>
      <c r="AAR128" s="149"/>
      <c r="AAS128" s="149"/>
      <c r="AAT128" s="149"/>
      <c r="AAU128" s="149"/>
      <c r="AAV128" s="149"/>
      <c r="AAW128" s="149"/>
      <c r="AAX128" s="149"/>
      <c r="AAY128" s="149"/>
      <c r="AAZ128" s="149"/>
      <c r="ABA128" s="149"/>
      <c r="ABB128" s="149"/>
      <c r="ABC128" s="149"/>
      <c r="ABD128" s="149"/>
      <c r="ABE128" s="149"/>
      <c r="ABF128" s="149"/>
      <c r="ABG128" s="149"/>
      <c r="ABH128" s="149"/>
      <c r="ABI128" s="149"/>
      <c r="ABJ128" s="149"/>
      <c r="ABK128" s="149"/>
      <c r="ABL128" s="149"/>
      <c r="ABM128" s="149"/>
      <c r="ABN128" s="149"/>
      <c r="ABO128" s="149"/>
      <c r="ABP128" s="149"/>
      <c r="ABQ128" s="149"/>
      <c r="ABR128" s="149"/>
      <c r="ABS128" s="149"/>
      <c r="ABT128" s="149"/>
      <c r="ABU128" s="149"/>
      <c r="ABV128" s="149"/>
      <c r="ABW128" s="149"/>
      <c r="ABX128" s="149"/>
      <c r="ABY128" s="149"/>
      <c r="ABZ128" s="149"/>
      <c r="ACA128" s="149"/>
      <c r="ACB128" s="149"/>
      <c r="ACC128" s="149"/>
      <c r="ACD128" s="149"/>
      <c r="ACE128" s="149"/>
      <c r="ACF128" s="149"/>
      <c r="ACG128" s="149"/>
      <c r="ACH128" s="149"/>
      <c r="ACI128" s="149"/>
      <c r="ACJ128" s="149"/>
      <c r="ACK128" s="149"/>
      <c r="ACL128" s="149"/>
      <c r="ACM128" s="149"/>
      <c r="ACN128" s="149"/>
      <c r="ACO128" s="149"/>
      <c r="ACP128" s="149"/>
      <c r="ACQ128" s="149"/>
      <c r="ACR128" s="149"/>
      <c r="ACS128" s="149"/>
      <c r="ACT128" s="149"/>
      <c r="ACU128" s="149"/>
      <c r="ACV128" s="149"/>
      <c r="ACW128" s="149"/>
      <c r="ACX128" s="149"/>
      <c r="ACY128" s="149"/>
      <c r="ACZ128" s="149"/>
      <c r="ADA128" s="149"/>
      <c r="ADB128" s="149"/>
      <c r="ADC128" s="149"/>
      <c r="ADD128" s="149"/>
      <c r="ADE128" s="149"/>
      <c r="ADF128" s="149"/>
      <c r="ADG128" s="149"/>
      <c r="ADH128" s="149"/>
      <c r="ADI128" s="149"/>
      <c r="ADJ128" s="149"/>
      <c r="ADK128" s="149"/>
      <c r="ADL128" s="149"/>
      <c r="ADM128" s="149"/>
      <c r="ADN128" s="149"/>
      <c r="ADO128" s="149"/>
      <c r="ADP128" s="149"/>
      <c r="ADQ128" s="149"/>
      <c r="ADR128" s="149"/>
      <c r="ADS128" s="149"/>
      <c r="ADT128" s="149"/>
      <c r="ADU128" s="149"/>
      <c r="ADV128" s="149"/>
      <c r="ADW128" s="149"/>
      <c r="ADX128" s="149"/>
      <c r="ADY128" s="149"/>
      <c r="ADZ128" s="149"/>
      <c r="AEA128" s="149"/>
      <c r="AEB128" s="149"/>
      <c r="AEC128" s="149"/>
      <c r="AED128" s="149"/>
      <c r="AEE128" s="149"/>
      <c r="AEF128" s="149"/>
      <c r="AEG128" s="149"/>
      <c r="AEH128" s="149"/>
      <c r="AEI128" s="149"/>
      <c r="AEJ128" s="149"/>
      <c r="AEK128" s="149"/>
      <c r="AEL128" s="149"/>
      <c r="AEM128" s="149"/>
      <c r="AEN128" s="149"/>
      <c r="AEO128" s="149"/>
      <c r="AEP128" s="149"/>
      <c r="AEQ128" s="149"/>
      <c r="AER128" s="149"/>
      <c r="AES128" s="149"/>
      <c r="AET128" s="149"/>
      <c r="AEU128" s="149"/>
      <c r="AEV128" s="149"/>
      <c r="AEW128" s="149"/>
      <c r="AEX128" s="149"/>
      <c r="AEY128" s="149"/>
      <c r="AEZ128" s="149"/>
      <c r="AFA128" s="149"/>
      <c r="AFB128" s="149"/>
      <c r="AFC128" s="149"/>
      <c r="AFD128" s="149"/>
      <c r="AFE128" s="149"/>
      <c r="AFF128" s="149"/>
      <c r="AFG128" s="149"/>
      <c r="AFH128" s="149"/>
      <c r="AFI128" s="149"/>
      <c r="AFJ128" s="149"/>
      <c r="AFK128" s="149"/>
      <c r="AFL128" s="149"/>
      <c r="AFM128" s="149"/>
      <c r="AFN128" s="149"/>
      <c r="AFO128" s="149"/>
      <c r="AFP128" s="149"/>
      <c r="AFQ128" s="149"/>
      <c r="AFR128" s="149"/>
      <c r="AFS128" s="149"/>
      <c r="AFT128" s="149"/>
      <c r="AFU128" s="149"/>
      <c r="AFV128" s="149"/>
      <c r="AFW128" s="149"/>
      <c r="AFX128" s="149"/>
      <c r="AFY128" s="149"/>
      <c r="AFZ128" s="149"/>
      <c r="AGA128" s="149"/>
      <c r="AGB128" s="149"/>
      <c r="AGC128" s="149"/>
      <c r="AGD128" s="149"/>
      <c r="AGE128" s="149"/>
      <c r="AGF128" s="149"/>
      <c r="AGG128" s="149"/>
      <c r="AGH128" s="149"/>
      <c r="AGI128" s="149"/>
      <c r="AGJ128" s="149"/>
      <c r="AGK128" s="149"/>
      <c r="AGL128" s="149"/>
      <c r="AGM128" s="149"/>
      <c r="AGN128" s="149"/>
      <c r="AGO128" s="149"/>
      <c r="AGP128" s="149"/>
      <c r="AGQ128" s="149"/>
      <c r="AGR128" s="149"/>
      <c r="AGS128" s="149"/>
      <c r="AGT128" s="149"/>
      <c r="AGU128" s="149"/>
      <c r="AGV128" s="149"/>
      <c r="AGW128" s="149"/>
      <c r="AGX128" s="149"/>
      <c r="AGY128" s="149"/>
      <c r="AGZ128" s="149"/>
      <c r="AHA128" s="149"/>
      <c r="AHB128" s="149"/>
      <c r="AHC128" s="149"/>
      <c r="AHD128" s="149"/>
      <c r="AHE128" s="149"/>
      <c r="AHF128" s="149"/>
      <c r="AHG128" s="149"/>
      <c r="AHH128" s="149"/>
      <c r="AHI128" s="149"/>
      <c r="AHJ128" s="149"/>
      <c r="AHK128" s="149"/>
      <c r="AHL128" s="149"/>
      <c r="AHM128" s="149"/>
      <c r="AHN128" s="149"/>
      <c r="AHO128" s="149"/>
      <c r="AHP128" s="149"/>
      <c r="AHQ128" s="149"/>
      <c r="AHR128" s="149"/>
      <c r="AHS128" s="149"/>
      <c r="AHT128" s="149"/>
      <c r="AHU128" s="149"/>
      <c r="AHV128" s="149"/>
      <c r="AHW128" s="149"/>
      <c r="AHX128" s="149"/>
      <c r="AHY128" s="149"/>
      <c r="AHZ128" s="149"/>
      <c r="AIA128" s="149"/>
      <c r="AIB128" s="149"/>
      <c r="AIC128" s="149"/>
      <c r="AID128" s="149"/>
      <c r="AIE128" s="149"/>
      <c r="AIF128" s="149"/>
      <c r="AIG128" s="149"/>
      <c r="AIH128" s="149"/>
      <c r="AII128" s="149"/>
      <c r="AIJ128" s="149"/>
      <c r="AIK128" s="149"/>
      <c r="AIL128" s="149"/>
      <c r="AIM128" s="149"/>
      <c r="AIN128" s="149"/>
      <c r="AIO128" s="149"/>
      <c r="AIP128" s="149"/>
      <c r="AIQ128" s="149"/>
      <c r="AIR128" s="149"/>
      <c r="AIS128" s="149"/>
      <c r="AIT128" s="149"/>
      <c r="AIU128" s="149"/>
      <c r="AIV128" s="149"/>
      <c r="AIW128" s="149"/>
      <c r="AIX128" s="149"/>
      <c r="AIY128" s="149"/>
      <c r="AIZ128" s="149"/>
      <c r="AJA128" s="149"/>
      <c r="AJB128" s="149"/>
      <c r="AJC128" s="149"/>
      <c r="AJD128" s="149"/>
      <c r="AJE128" s="149"/>
      <c r="AJF128" s="149"/>
      <c r="AJG128" s="149"/>
      <c r="AJH128" s="149"/>
      <c r="AJI128" s="149"/>
      <c r="AJJ128" s="149"/>
      <c r="AJK128" s="149"/>
      <c r="AJL128" s="149"/>
      <c r="AJM128" s="149"/>
      <c r="AJN128" s="149"/>
      <c r="AJO128" s="149"/>
      <c r="AJP128" s="149"/>
      <c r="AJQ128" s="149"/>
      <c r="AJR128" s="149"/>
      <c r="AJS128" s="149"/>
      <c r="AJT128" s="149"/>
      <c r="AJU128" s="149"/>
      <c r="AJV128" s="149"/>
      <c r="AJW128" s="149"/>
      <c r="AJX128" s="149"/>
      <c r="AJY128" s="149"/>
      <c r="AJZ128" s="149"/>
      <c r="AKA128" s="149"/>
      <c r="AKB128" s="149"/>
      <c r="AKC128" s="149"/>
      <c r="AKD128" s="149"/>
      <c r="AKE128" s="149"/>
      <c r="AKF128" s="149"/>
      <c r="AKG128" s="149"/>
      <c r="AKH128" s="149"/>
      <c r="AKI128" s="149"/>
      <c r="AKJ128" s="149"/>
      <c r="AKK128" s="149"/>
      <c r="AKL128" s="149"/>
      <c r="AKM128" s="149"/>
      <c r="AKN128" s="149"/>
      <c r="AKO128" s="149"/>
      <c r="AKP128" s="149"/>
      <c r="AKQ128" s="149"/>
      <c r="AKR128" s="149"/>
      <c r="AKS128" s="149"/>
      <c r="AKT128" s="149"/>
      <c r="AKU128" s="149"/>
      <c r="AKV128" s="149"/>
      <c r="AKW128" s="149"/>
      <c r="AKX128" s="149"/>
      <c r="AKY128" s="149"/>
      <c r="AKZ128" s="149"/>
      <c r="ALA128" s="149"/>
      <c r="ALB128" s="149"/>
      <c r="ALC128" s="149"/>
      <c r="ALD128" s="149"/>
      <c r="ALE128" s="149"/>
      <c r="ALF128" s="149"/>
      <c r="ALG128" s="149"/>
      <c r="ALH128" s="149"/>
      <c r="ALI128" s="149"/>
      <c r="ALJ128" s="149"/>
      <c r="ALK128" s="149"/>
      <c r="ALL128" s="149"/>
      <c r="ALM128" s="149"/>
      <c r="ALN128" s="149"/>
      <c r="ALO128" s="149"/>
      <c r="ALP128" s="149"/>
      <c r="ALQ128" s="149"/>
      <c r="ALR128" s="149"/>
      <c r="ALS128" s="149"/>
      <c r="ALT128" s="149"/>
      <c r="ALU128" s="149"/>
      <c r="ALV128" s="149"/>
      <c r="ALW128" s="149"/>
      <c r="ALX128" s="149"/>
      <c r="ALY128" s="149"/>
      <c r="ALZ128" s="149"/>
      <c r="AMA128" s="149"/>
      <c r="AMB128" s="149"/>
      <c r="AMC128" s="149"/>
      <c r="AMD128" s="149"/>
    </row>
    <row r="129" spans="1:1018" s="151" customFormat="1" hidden="1">
      <c r="A129" s="178"/>
      <c r="B129" s="149"/>
      <c r="C129" s="150"/>
      <c r="D129" s="150"/>
      <c r="E129" s="150"/>
      <c r="G129" s="152">
        <v>0</v>
      </c>
      <c r="I129" s="149"/>
      <c r="J129" s="149"/>
      <c r="K129" s="149"/>
      <c r="L129" s="149"/>
      <c r="M129" s="149"/>
      <c r="N129" s="149"/>
      <c r="O129" s="149"/>
      <c r="P129" s="149"/>
      <c r="Q129" s="149"/>
      <c r="R129" s="149"/>
      <c r="S129" s="149"/>
      <c r="T129" s="149"/>
      <c r="U129" s="149"/>
      <c r="V129" s="149"/>
      <c r="W129" s="149"/>
      <c r="X129" s="149"/>
      <c r="Y129" s="149"/>
      <c r="Z129" s="149"/>
      <c r="AA129" s="149"/>
      <c r="AB129" s="149"/>
      <c r="AC129" s="149"/>
      <c r="AD129" s="149"/>
      <c r="AE129" s="149"/>
      <c r="AF129" s="149"/>
      <c r="AG129" s="149"/>
      <c r="AH129" s="149"/>
      <c r="AI129" s="149"/>
      <c r="AJ129" s="149"/>
      <c r="AK129" s="153"/>
      <c r="AL129" s="149"/>
      <c r="AM129" s="149"/>
      <c r="AN129" s="149"/>
      <c r="AO129" s="149"/>
      <c r="AQ129" s="149"/>
      <c r="AR129" s="149"/>
      <c r="AS129" s="149"/>
      <c r="AT129" s="149"/>
      <c r="AU129" s="149"/>
      <c r="AV129" s="149"/>
      <c r="AW129" s="149"/>
      <c r="AX129" s="149"/>
      <c r="AY129" s="149"/>
      <c r="AZ129" s="149"/>
      <c r="BA129" s="149"/>
      <c r="BB129" s="149"/>
      <c r="BC129" s="149"/>
      <c r="BD129" s="149"/>
      <c r="BE129" s="149"/>
      <c r="BF129" s="149"/>
      <c r="BG129" s="149"/>
      <c r="BH129" s="149"/>
      <c r="BI129" s="149"/>
      <c r="BJ129" s="149"/>
      <c r="BK129" s="149"/>
      <c r="BL129" s="149"/>
      <c r="BM129" s="149"/>
      <c r="BN129" s="149"/>
      <c r="BO129" s="149"/>
      <c r="BP129" s="149"/>
      <c r="BQ129" s="149"/>
      <c r="BR129" s="149"/>
      <c r="BS129" s="149"/>
      <c r="BT129" s="149"/>
      <c r="BU129" s="149"/>
      <c r="BV129" s="149"/>
      <c r="BW129" s="149"/>
      <c r="BX129" s="149"/>
      <c r="BY129" s="149"/>
      <c r="BZ129" s="149"/>
      <c r="CA129" s="149"/>
      <c r="CB129" s="149"/>
      <c r="CC129" s="149"/>
      <c r="CD129" s="149"/>
      <c r="CE129" s="149"/>
      <c r="CF129" s="149"/>
      <c r="CG129" s="149"/>
      <c r="CH129" s="149"/>
      <c r="CI129" s="149"/>
      <c r="CJ129" s="149"/>
      <c r="CK129" s="149"/>
      <c r="CL129" s="149"/>
      <c r="CM129" s="149"/>
      <c r="CN129" s="149"/>
      <c r="CO129" s="149"/>
      <c r="CP129" s="149"/>
      <c r="CQ129" s="149"/>
      <c r="CR129" s="149"/>
      <c r="CS129" s="149"/>
      <c r="CT129" s="149"/>
      <c r="CU129" s="149"/>
      <c r="CV129" s="149"/>
      <c r="CW129" s="149"/>
      <c r="CX129" s="149"/>
      <c r="CY129" s="149"/>
      <c r="CZ129" s="149"/>
      <c r="DA129" s="149"/>
      <c r="DB129" s="149"/>
      <c r="DC129" s="149"/>
      <c r="DD129" s="149"/>
      <c r="DE129" s="149"/>
      <c r="DF129" s="149"/>
      <c r="DG129" s="149"/>
      <c r="DH129" s="149"/>
      <c r="DI129" s="149"/>
      <c r="DJ129" s="149"/>
      <c r="DK129" s="149"/>
      <c r="DL129" s="149"/>
      <c r="DM129" s="149"/>
      <c r="DN129" s="149"/>
      <c r="DO129" s="149"/>
      <c r="DP129" s="149"/>
      <c r="DQ129" s="149"/>
      <c r="DR129" s="149"/>
      <c r="DS129" s="149"/>
      <c r="DT129" s="149"/>
      <c r="DU129" s="149"/>
      <c r="DV129" s="149"/>
      <c r="DW129" s="149"/>
      <c r="DX129" s="149"/>
      <c r="DY129" s="149"/>
      <c r="DZ129" s="149"/>
      <c r="EA129" s="149"/>
      <c r="EB129" s="149"/>
      <c r="EC129" s="149"/>
      <c r="ED129" s="149"/>
      <c r="EE129" s="149"/>
      <c r="EF129" s="149"/>
      <c r="EG129" s="149"/>
      <c r="EH129" s="149"/>
      <c r="EI129" s="149"/>
      <c r="EJ129" s="149"/>
      <c r="EK129" s="149"/>
      <c r="EL129" s="149"/>
      <c r="EM129" s="149"/>
      <c r="EN129" s="149"/>
      <c r="EO129" s="149"/>
      <c r="EP129" s="149"/>
      <c r="EQ129" s="149"/>
      <c r="ER129" s="149"/>
      <c r="ES129" s="149"/>
      <c r="ET129" s="149"/>
      <c r="EU129" s="149"/>
      <c r="EV129" s="149"/>
      <c r="EW129" s="149"/>
      <c r="EX129" s="149"/>
      <c r="EY129" s="149"/>
      <c r="EZ129" s="149"/>
      <c r="FA129" s="149"/>
      <c r="FB129" s="149"/>
      <c r="FC129" s="149"/>
      <c r="FD129" s="149"/>
      <c r="FE129" s="149"/>
      <c r="FF129" s="149"/>
      <c r="FG129" s="149"/>
      <c r="FH129" s="149"/>
      <c r="FI129" s="149"/>
      <c r="FJ129" s="149"/>
      <c r="FK129" s="149"/>
      <c r="FL129" s="149"/>
      <c r="FM129" s="149"/>
      <c r="FN129" s="149"/>
      <c r="FO129" s="149"/>
      <c r="FP129" s="149"/>
      <c r="FQ129" s="149"/>
      <c r="FR129" s="149"/>
      <c r="FS129" s="149"/>
      <c r="FT129" s="149"/>
      <c r="FU129" s="149"/>
      <c r="FV129" s="149"/>
      <c r="FW129" s="149"/>
      <c r="FX129" s="149"/>
      <c r="FY129" s="149"/>
      <c r="FZ129" s="149"/>
      <c r="GA129" s="149"/>
      <c r="GB129" s="149"/>
      <c r="GC129" s="149"/>
      <c r="GD129" s="149"/>
      <c r="GE129" s="149"/>
      <c r="GF129" s="149"/>
      <c r="GG129" s="149"/>
      <c r="GH129" s="149"/>
      <c r="GI129" s="149"/>
      <c r="GJ129" s="149"/>
      <c r="GK129" s="149"/>
      <c r="GL129" s="149"/>
      <c r="GM129" s="149"/>
      <c r="GN129" s="149"/>
      <c r="GO129" s="149"/>
      <c r="GP129" s="149"/>
      <c r="GQ129" s="149"/>
      <c r="GR129" s="149"/>
      <c r="GS129" s="149"/>
      <c r="GT129" s="149"/>
      <c r="GU129" s="149"/>
      <c r="GV129" s="149"/>
      <c r="GW129" s="149"/>
      <c r="GX129" s="149"/>
      <c r="GY129" s="149"/>
      <c r="GZ129" s="149"/>
      <c r="HA129" s="149"/>
      <c r="HB129" s="149"/>
      <c r="HC129" s="149"/>
      <c r="HD129" s="149"/>
      <c r="HE129" s="149"/>
      <c r="HF129" s="149"/>
      <c r="HG129" s="149"/>
      <c r="HH129" s="149"/>
      <c r="HI129" s="149"/>
      <c r="HJ129" s="149"/>
      <c r="HK129" s="149"/>
      <c r="HL129" s="149"/>
      <c r="HM129" s="149"/>
      <c r="HN129" s="149"/>
      <c r="HO129" s="149"/>
      <c r="HP129" s="149"/>
      <c r="HQ129" s="149"/>
      <c r="HR129" s="149"/>
      <c r="HS129" s="149"/>
      <c r="HT129" s="149"/>
      <c r="HU129" s="149"/>
      <c r="HV129" s="149"/>
      <c r="HW129" s="149"/>
      <c r="HX129" s="149"/>
      <c r="HY129" s="149"/>
      <c r="HZ129" s="149"/>
      <c r="IA129" s="149"/>
      <c r="IB129" s="149"/>
      <c r="IC129" s="149"/>
      <c r="ID129" s="149"/>
      <c r="IE129" s="149"/>
      <c r="IF129" s="149"/>
      <c r="IG129" s="149"/>
      <c r="IH129" s="149"/>
      <c r="II129" s="149"/>
      <c r="IJ129" s="149"/>
      <c r="IK129" s="149"/>
      <c r="IL129" s="149"/>
      <c r="IM129" s="149"/>
      <c r="IN129" s="149"/>
      <c r="IO129" s="149"/>
      <c r="IP129" s="149"/>
      <c r="IQ129" s="149"/>
      <c r="IR129" s="149"/>
      <c r="IS129" s="149"/>
      <c r="IT129" s="149"/>
      <c r="IU129" s="149"/>
      <c r="IV129" s="149"/>
      <c r="IW129" s="149"/>
      <c r="IX129" s="149"/>
      <c r="IY129" s="149"/>
      <c r="IZ129" s="149"/>
      <c r="JA129" s="149"/>
      <c r="JB129" s="149"/>
      <c r="JC129" s="149"/>
      <c r="JD129" s="149"/>
      <c r="JE129" s="149"/>
      <c r="JF129" s="149"/>
      <c r="JG129" s="149"/>
      <c r="JH129" s="149"/>
      <c r="JI129" s="149"/>
      <c r="JJ129" s="149"/>
      <c r="JK129" s="149"/>
      <c r="JL129" s="149"/>
      <c r="JM129" s="149"/>
      <c r="JN129" s="149"/>
      <c r="JO129" s="149"/>
      <c r="JP129" s="149"/>
      <c r="JQ129" s="149"/>
      <c r="JR129" s="149"/>
      <c r="JS129" s="149"/>
      <c r="JT129" s="149"/>
      <c r="JU129" s="149"/>
      <c r="JV129" s="149"/>
      <c r="JW129" s="149"/>
      <c r="JX129" s="149"/>
      <c r="JY129" s="149"/>
      <c r="JZ129" s="149"/>
      <c r="KA129" s="149"/>
      <c r="KB129" s="149"/>
      <c r="KC129" s="149"/>
      <c r="KD129" s="149"/>
      <c r="KE129" s="149"/>
      <c r="KF129" s="149"/>
      <c r="KG129" s="149"/>
      <c r="KH129" s="149"/>
      <c r="KI129" s="149"/>
      <c r="KJ129" s="149"/>
      <c r="KK129" s="149"/>
      <c r="KL129" s="149"/>
      <c r="KM129" s="149"/>
      <c r="KN129" s="149"/>
      <c r="KO129" s="149"/>
      <c r="KP129" s="149"/>
      <c r="KQ129" s="149"/>
      <c r="KR129" s="149"/>
      <c r="KS129" s="149"/>
      <c r="KT129" s="149"/>
      <c r="KU129" s="149"/>
      <c r="KV129" s="149"/>
      <c r="KW129" s="149"/>
      <c r="KX129" s="149"/>
      <c r="KY129" s="149"/>
      <c r="KZ129" s="149"/>
      <c r="LA129" s="149"/>
      <c r="LB129" s="149"/>
      <c r="LC129" s="149"/>
      <c r="LD129" s="149"/>
      <c r="LE129" s="149"/>
      <c r="LF129" s="149"/>
      <c r="LG129" s="149"/>
      <c r="LH129" s="149"/>
      <c r="LI129" s="149"/>
      <c r="LJ129" s="149"/>
      <c r="LK129" s="149"/>
      <c r="LL129" s="149"/>
      <c r="LM129" s="149"/>
      <c r="LN129" s="149"/>
      <c r="LO129" s="149"/>
      <c r="LP129" s="149"/>
      <c r="LQ129" s="149"/>
      <c r="LR129" s="149"/>
      <c r="LS129" s="149"/>
      <c r="LT129" s="149"/>
      <c r="LU129" s="149"/>
      <c r="LV129" s="149"/>
      <c r="LW129" s="149"/>
      <c r="LX129" s="149"/>
      <c r="LY129" s="149"/>
      <c r="LZ129" s="149"/>
      <c r="MA129" s="149"/>
      <c r="MB129" s="149"/>
      <c r="MC129" s="149"/>
      <c r="MD129" s="149"/>
      <c r="ME129" s="149"/>
      <c r="MF129" s="149"/>
      <c r="MG129" s="149"/>
      <c r="MH129" s="149"/>
      <c r="MI129" s="149"/>
      <c r="MJ129" s="149"/>
      <c r="MK129" s="149"/>
      <c r="ML129" s="149"/>
      <c r="MM129" s="149"/>
      <c r="MN129" s="149"/>
      <c r="MO129" s="149"/>
      <c r="MP129" s="149"/>
      <c r="MQ129" s="149"/>
      <c r="MR129" s="149"/>
      <c r="MS129" s="149"/>
      <c r="MT129" s="149"/>
      <c r="MU129" s="149"/>
      <c r="MV129" s="149"/>
      <c r="MW129" s="149"/>
      <c r="MX129" s="149"/>
      <c r="MY129" s="149"/>
      <c r="MZ129" s="149"/>
      <c r="NA129" s="149"/>
      <c r="NB129" s="149"/>
      <c r="NC129" s="149"/>
      <c r="ND129" s="149"/>
      <c r="NE129" s="149"/>
      <c r="NF129" s="149"/>
      <c r="NG129" s="149"/>
      <c r="NH129" s="149"/>
      <c r="NI129" s="149"/>
      <c r="NJ129" s="149"/>
      <c r="NK129" s="149"/>
      <c r="NL129" s="149"/>
      <c r="NM129" s="149"/>
      <c r="NN129" s="149"/>
      <c r="NO129" s="149"/>
      <c r="NP129" s="149"/>
      <c r="NQ129" s="149"/>
      <c r="NR129" s="149"/>
      <c r="NS129" s="149"/>
      <c r="NT129" s="149"/>
      <c r="NU129" s="149"/>
      <c r="NV129" s="149"/>
      <c r="NW129" s="149"/>
      <c r="NX129" s="149"/>
      <c r="NY129" s="149"/>
      <c r="NZ129" s="149"/>
      <c r="OA129" s="149"/>
      <c r="OB129" s="149"/>
      <c r="OC129" s="149"/>
      <c r="OD129" s="149"/>
      <c r="OE129" s="149"/>
      <c r="OF129" s="149"/>
      <c r="OG129" s="149"/>
      <c r="OH129" s="149"/>
      <c r="OI129" s="149"/>
      <c r="OJ129" s="149"/>
      <c r="OK129" s="149"/>
      <c r="OL129" s="149"/>
      <c r="OM129" s="149"/>
      <c r="ON129" s="149"/>
      <c r="OO129" s="149"/>
      <c r="OP129" s="149"/>
      <c r="OQ129" s="149"/>
      <c r="OR129" s="149"/>
      <c r="OS129" s="149"/>
      <c r="OT129" s="149"/>
      <c r="OU129" s="149"/>
      <c r="OV129" s="149"/>
      <c r="OW129" s="149"/>
      <c r="OX129" s="149"/>
      <c r="OY129" s="149"/>
      <c r="OZ129" s="149"/>
      <c r="PA129" s="149"/>
      <c r="PB129" s="149"/>
      <c r="PC129" s="149"/>
      <c r="PD129" s="149"/>
      <c r="PE129" s="149"/>
      <c r="PF129" s="149"/>
      <c r="PG129" s="149"/>
      <c r="PH129" s="149"/>
      <c r="PI129" s="149"/>
      <c r="PJ129" s="149"/>
      <c r="PK129" s="149"/>
      <c r="PL129" s="149"/>
      <c r="PM129" s="149"/>
      <c r="PN129" s="149"/>
      <c r="PO129" s="149"/>
      <c r="PP129" s="149"/>
      <c r="PQ129" s="149"/>
      <c r="PR129" s="149"/>
      <c r="PS129" s="149"/>
      <c r="PT129" s="149"/>
      <c r="PU129" s="149"/>
      <c r="PV129" s="149"/>
      <c r="PW129" s="149"/>
      <c r="PX129" s="149"/>
      <c r="PY129" s="149"/>
      <c r="PZ129" s="149"/>
      <c r="QA129" s="149"/>
      <c r="QB129" s="149"/>
      <c r="QC129" s="149"/>
      <c r="QD129" s="149"/>
      <c r="QE129" s="149"/>
      <c r="QF129" s="149"/>
      <c r="QG129" s="149"/>
      <c r="QH129" s="149"/>
      <c r="QI129" s="149"/>
      <c r="QJ129" s="149"/>
      <c r="QK129" s="149"/>
      <c r="QL129" s="149"/>
      <c r="QM129" s="149"/>
      <c r="QN129" s="149"/>
      <c r="QO129" s="149"/>
      <c r="QP129" s="149"/>
      <c r="QQ129" s="149"/>
      <c r="QR129" s="149"/>
      <c r="QS129" s="149"/>
      <c r="QT129" s="149"/>
      <c r="QU129" s="149"/>
      <c r="QV129" s="149"/>
      <c r="QW129" s="149"/>
      <c r="QX129" s="149"/>
      <c r="QY129" s="149"/>
      <c r="QZ129" s="149"/>
      <c r="RA129" s="149"/>
      <c r="RB129" s="149"/>
      <c r="RC129" s="149"/>
      <c r="RD129" s="149"/>
      <c r="RE129" s="149"/>
      <c r="RF129" s="149"/>
      <c r="RG129" s="149"/>
      <c r="RH129" s="149"/>
      <c r="RI129" s="149"/>
      <c r="RJ129" s="149"/>
      <c r="RK129" s="149"/>
      <c r="RL129" s="149"/>
      <c r="RM129" s="149"/>
      <c r="RN129" s="149"/>
      <c r="RO129" s="149"/>
      <c r="RP129" s="149"/>
      <c r="RQ129" s="149"/>
      <c r="RR129" s="149"/>
      <c r="RS129" s="149"/>
      <c r="RT129" s="149"/>
      <c r="RU129" s="149"/>
      <c r="RV129" s="149"/>
      <c r="RW129" s="149"/>
      <c r="RX129" s="149"/>
      <c r="RY129" s="149"/>
      <c r="RZ129" s="149"/>
      <c r="SA129" s="149"/>
      <c r="SB129" s="149"/>
      <c r="SC129" s="149"/>
      <c r="SD129" s="149"/>
      <c r="SE129" s="149"/>
      <c r="SF129" s="149"/>
      <c r="SG129" s="149"/>
      <c r="SH129" s="149"/>
      <c r="SI129" s="149"/>
      <c r="SJ129" s="149"/>
      <c r="SK129" s="149"/>
      <c r="SL129" s="149"/>
      <c r="SM129" s="149"/>
      <c r="SN129" s="149"/>
      <c r="SO129" s="149"/>
      <c r="SP129" s="149"/>
      <c r="SQ129" s="149"/>
      <c r="SR129" s="149"/>
      <c r="SS129" s="149"/>
      <c r="ST129" s="149"/>
      <c r="SU129" s="149"/>
      <c r="SV129" s="149"/>
      <c r="SW129" s="149"/>
      <c r="SX129" s="149"/>
      <c r="SY129" s="149"/>
      <c r="SZ129" s="149"/>
      <c r="TA129" s="149"/>
      <c r="TB129" s="149"/>
      <c r="TC129" s="149"/>
      <c r="TD129" s="149"/>
      <c r="TE129" s="149"/>
      <c r="TF129" s="149"/>
      <c r="TG129" s="149"/>
      <c r="TH129" s="149"/>
      <c r="TI129" s="149"/>
      <c r="TJ129" s="149"/>
      <c r="TK129" s="149"/>
      <c r="TL129" s="149"/>
      <c r="TM129" s="149"/>
      <c r="TN129" s="149"/>
      <c r="TO129" s="149"/>
      <c r="TP129" s="149"/>
      <c r="TQ129" s="149"/>
      <c r="TR129" s="149"/>
      <c r="TS129" s="149"/>
      <c r="TT129" s="149"/>
      <c r="TU129" s="149"/>
      <c r="TV129" s="149"/>
      <c r="TW129" s="149"/>
      <c r="TX129" s="149"/>
      <c r="TY129" s="149"/>
      <c r="TZ129" s="149"/>
      <c r="UA129" s="149"/>
      <c r="UB129" s="149"/>
      <c r="UC129" s="149"/>
      <c r="UD129" s="149"/>
      <c r="UE129" s="149"/>
      <c r="UF129" s="149"/>
      <c r="UG129" s="149"/>
      <c r="UH129" s="149"/>
      <c r="UI129" s="149"/>
      <c r="UJ129" s="149"/>
      <c r="UK129" s="149"/>
      <c r="UL129" s="149"/>
      <c r="UM129" s="149"/>
      <c r="UN129" s="149"/>
      <c r="UO129" s="149"/>
      <c r="UP129" s="149"/>
      <c r="UQ129" s="149"/>
      <c r="UR129" s="149"/>
      <c r="US129" s="149"/>
      <c r="UT129" s="149"/>
      <c r="UU129" s="149"/>
      <c r="UV129" s="149"/>
      <c r="UW129" s="149"/>
      <c r="UX129" s="149"/>
      <c r="UY129" s="149"/>
      <c r="UZ129" s="149"/>
      <c r="VA129" s="149"/>
      <c r="VB129" s="149"/>
      <c r="VC129" s="149"/>
      <c r="VD129" s="149"/>
      <c r="VE129" s="149"/>
      <c r="VF129" s="149"/>
      <c r="VG129" s="149"/>
      <c r="VH129" s="149"/>
      <c r="VI129" s="149"/>
      <c r="VJ129" s="149"/>
      <c r="VK129" s="149"/>
      <c r="VL129" s="149"/>
      <c r="VM129" s="149"/>
      <c r="VN129" s="149"/>
      <c r="VO129" s="149"/>
      <c r="VP129" s="149"/>
      <c r="VQ129" s="149"/>
      <c r="VR129" s="149"/>
      <c r="VS129" s="149"/>
      <c r="VT129" s="149"/>
      <c r="VU129" s="149"/>
      <c r="VV129" s="149"/>
      <c r="VW129" s="149"/>
      <c r="VX129" s="149"/>
      <c r="VY129" s="149"/>
      <c r="VZ129" s="149"/>
      <c r="WA129" s="149"/>
      <c r="WB129" s="149"/>
      <c r="WC129" s="149"/>
      <c r="WD129" s="149"/>
      <c r="WE129" s="149"/>
      <c r="WF129" s="149"/>
      <c r="WG129" s="149"/>
      <c r="WH129" s="149"/>
      <c r="WI129" s="149"/>
      <c r="WJ129" s="149"/>
      <c r="WK129" s="149"/>
      <c r="WL129" s="149"/>
      <c r="WM129" s="149"/>
      <c r="WN129" s="149"/>
      <c r="WO129" s="149"/>
      <c r="WP129" s="149"/>
      <c r="WQ129" s="149"/>
      <c r="WR129" s="149"/>
      <c r="WS129" s="149"/>
      <c r="WT129" s="149"/>
      <c r="WU129" s="149"/>
      <c r="WV129" s="149"/>
      <c r="WW129" s="149"/>
      <c r="WX129" s="149"/>
      <c r="WY129" s="149"/>
      <c r="WZ129" s="149"/>
      <c r="XA129" s="149"/>
      <c r="XB129" s="149"/>
      <c r="XC129" s="149"/>
      <c r="XD129" s="149"/>
      <c r="XE129" s="149"/>
      <c r="XF129" s="149"/>
      <c r="XG129" s="149"/>
      <c r="XH129" s="149"/>
      <c r="XI129" s="149"/>
      <c r="XJ129" s="149"/>
      <c r="XK129" s="149"/>
      <c r="XL129" s="149"/>
      <c r="XM129" s="149"/>
      <c r="XN129" s="149"/>
      <c r="XO129" s="149"/>
      <c r="XP129" s="149"/>
      <c r="XQ129" s="149"/>
      <c r="XR129" s="149"/>
      <c r="XS129" s="149"/>
      <c r="XT129" s="149"/>
      <c r="XU129" s="149"/>
      <c r="XV129" s="149"/>
      <c r="XW129" s="149"/>
      <c r="XX129" s="149"/>
      <c r="XY129" s="149"/>
      <c r="XZ129" s="149"/>
      <c r="YA129" s="149"/>
      <c r="YB129" s="149"/>
      <c r="YC129" s="149"/>
      <c r="YD129" s="149"/>
      <c r="YE129" s="149"/>
      <c r="YF129" s="149"/>
      <c r="YG129" s="149"/>
      <c r="YH129" s="149"/>
      <c r="YI129" s="149"/>
      <c r="YJ129" s="149"/>
      <c r="YK129" s="149"/>
      <c r="YL129" s="149"/>
      <c r="YM129" s="149"/>
      <c r="YN129" s="149"/>
      <c r="YO129" s="149"/>
      <c r="YP129" s="149"/>
      <c r="YQ129" s="149"/>
      <c r="YR129" s="149"/>
      <c r="YS129" s="149"/>
      <c r="YT129" s="149"/>
      <c r="YU129" s="149"/>
      <c r="YV129" s="149"/>
      <c r="YW129" s="149"/>
      <c r="YX129" s="149"/>
      <c r="YY129" s="149"/>
      <c r="YZ129" s="149"/>
      <c r="ZA129" s="149"/>
      <c r="ZB129" s="149"/>
      <c r="ZC129" s="149"/>
      <c r="ZD129" s="149"/>
      <c r="ZE129" s="149"/>
      <c r="ZF129" s="149"/>
      <c r="ZG129" s="149"/>
      <c r="ZH129" s="149"/>
      <c r="ZI129" s="149"/>
      <c r="ZJ129" s="149"/>
      <c r="ZK129" s="149"/>
      <c r="ZL129" s="149"/>
      <c r="ZM129" s="149"/>
      <c r="ZN129" s="149"/>
      <c r="ZO129" s="149"/>
      <c r="ZP129" s="149"/>
      <c r="ZQ129" s="149"/>
      <c r="ZR129" s="149"/>
      <c r="ZS129" s="149"/>
      <c r="ZT129" s="149"/>
      <c r="ZU129" s="149"/>
      <c r="ZV129" s="149"/>
      <c r="ZW129" s="149"/>
      <c r="ZX129" s="149"/>
      <c r="ZY129" s="149"/>
      <c r="ZZ129" s="149"/>
      <c r="AAA129" s="149"/>
      <c r="AAB129" s="149"/>
      <c r="AAC129" s="149"/>
      <c r="AAD129" s="149"/>
      <c r="AAE129" s="149"/>
      <c r="AAF129" s="149"/>
      <c r="AAG129" s="149"/>
      <c r="AAH129" s="149"/>
      <c r="AAI129" s="149"/>
      <c r="AAJ129" s="149"/>
      <c r="AAK129" s="149"/>
      <c r="AAL129" s="149"/>
      <c r="AAM129" s="149"/>
      <c r="AAN129" s="149"/>
      <c r="AAO129" s="149"/>
      <c r="AAP129" s="149"/>
      <c r="AAQ129" s="149"/>
      <c r="AAR129" s="149"/>
      <c r="AAS129" s="149"/>
      <c r="AAT129" s="149"/>
      <c r="AAU129" s="149"/>
      <c r="AAV129" s="149"/>
      <c r="AAW129" s="149"/>
      <c r="AAX129" s="149"/>
      <c r="AAY129" s="149"/>
      <c r="AAZ129" s="149"/>
      <c r="ABA129" s="149"/>
      <c r="ABB129" s="149"/>
      <c r="ABC129" s="149"/>
      <c r="ABD129" s="149"/>
      <c r="ABE129" s="149"/>
      <c r="ABF129" s="149"/>
      <c r="ABG129" s="149"/>
      <c r="ABH129" s="149"/>
      <c r="ABI129" s="149"/>
      <c r="ABJ129" s="149"/>
      <c r="ABK129" s="149"/>
      <c r="ABL129" s="149"/>
      <c r="ABM129" s="149"/>
      <c r="ABN129" s="149"/>
      <c r="ABO129" s="149"/>
      <c r="ABP129" s="149"/>
      <c r="ABQ129" s="149"/>
      <c r="ABR129" s="149"/>
      <c r="ABS129" s="149"/>
      <c r="ABT129" s="149"/>
      <c r="ABU129" s="149"/>
      <c r="ABV129" s="149"/>
      <c r="ABW129" s="149"/>
      <c r="ABX129" s="149"/>
      <c r="ABY129" s="149"/>
      <c r="ABZ129" s="149"/>
      <c r="ACA129" s="149"/>
      <c r="ACB129" s="149"/>
      <c r="ACC129" s="149"/>
      <c r="ACD129" s="149"/>
      <c r="ACE129" s="149"/>
      <c r="ACF129" s="149"/>
      <c r="ACG129" s="149"/>
      <c r="ACH129" s="149"/>
      <c r="ACI129" s="149"/>
      <c r="ACJ129" s="149"/>
      <c r="ACK129" s="149"/>
      <c r="ACL129" s="149"/>
      <c r="ACM129" s="149"/>
      <c r="ACN129" s="149"/>
      <c r="ACO129" s="149"/>
      <c r="ACP129" s="149"/>
      <c r="ACQ129" s="149"/>
      <c r="ACR129" s="149"/>
      <c r="ACS129" s="149"/>
      <c r="ACT129" s="149"/>
      <c r="ACU129" s="149"/>
      <c r="ACV129" s="149"/>
      <c r="ACW129" s="149"/>
      <c r="ACX129" s="149"/>
      <c r="ACY129" s="149"/>
      <c r="ACZ129" s="149"/>
      <c r="ADA129" s="149"/>
      <c r="ADB129" s="149"/>
      <c r="ADC129" s="149"/>
      <c r="ADD129" s="149"/>
      <c r="ADE129" s="149"/>
      <c r="ADF129" s="149"/>
      <c r="ADG129" s="149"/>
      <c r="ADH129" s="149"/>
      <c r="ADI129" s="149"/>
      <c r="ADJ129" s="149"/>
      <c r="ADK129" s="149"/>
      <c r="ADL129" s="149"/>
      <c r="ADM129" s="149"/>
      <c r="ADN129" s="149"/>
      <c r="ADO129" s="149"/>
      <c r="ADP129" s="149"/>
      <c r="ADQ129" s="149"/>
      <c r="ADR129" s="149"/>
      <c r="ADS129" s="149"/>
      <c r="ADT129" s="149"/>
      <c r="ADU129" s="149"/>
      <c r="ADV129" s="149"/>
      <c r="ADW129" s="149"/>
      <c r="ADX129" s="149"/>
      <c r="ADY129" s="149"/>
      <c r="ADZ129" s="149"/>
      <c r="AEA129" s="149"/>
      <c r="AEB129" s="149"/>
      <c r="AEC129" s="149"/>
      <c r="AED129" s="149"/>
      <c r="AEE129" s="149"/>
      <c r="AEF129" s="149"/>
      <c r="AEG129" s="149"/>
      <c r="AEH129" s="149"/>
      <c r="AEI129" s="149"/>
      <c r="AEJ129" s="149"/>
      <c r="AEK129" s="149"/>
      <c r="AEL129" s="149"/>
      <c r="AEM129" s="149"/>
      <c r="AEN129" s="149"/>
      <c r="AEO129" s="149"/>
      <c r="AEP129" s="149"/>
      <c r="AEQ129" s="149"/>
      <c r="AER129" s="149"/>
      <c r="AES129" s="149"/>
      <c r="AET129" s="149"/>
      <c r="AEU129" s="149"/>
      <c r="AEV129" s="149"/>
      <c r="AEW129" s="149"/>
      <c r="AEX129" s="149"/>
      <c r="AEY129" s="149"/>
      <c r="AEZ129" s="149"/>
      <c r="AFA129" s="149"/>
      <c r="AFB129" s="149"/>
      <c r="AFC129" s="149"/>
      <c r="AFD129" s="149"/>
      <c r="AFE129" s="149"/>
      <c r="AFF129" s="149"/>
      <c r="AFG129" s="149"/>
      <c r="AFH129" s="149"/>
      <c r="AFI129" s="149"/>
      <c r="AFJ129" s="149"/>
      <c r="AFK129" s="149"/>
      <c r="AFL129" s="149"/>
      <c r="AFM129" s="149"/>
      <c r="AFN129" s="149"/>
      <c r="AFO129" s="149"/>
      <c r="AFP129" s="149"/>
      <c r="AFQ129" s="149"/>
      <c r="AFR129" s="149"/>
      <c r="AFS129" s="149"/>
      <c r="AFT129" s="149"/>
      <c r="AFU129" s="149"/>
      <c r="AFV129" s="149"/>
      <c r="AFW129" s="149"/>
      <c r="AFX129" s="149"/>
      <c r="AFY129" s="149"/>
      <c r="AFZ129" s="149"/>
      <c r="AGA129" s="149"/>
      <c r="AGB129" s="149"/>
      <c r="AGC129" s="149"/>
      <c r="AGD129" s="149"/>
      <c r="AGE129" s="149"/>
      <c r="AGF129" s="149"/>
      <c r="AGG129" s="149"/>
      <c r="AGH129" s="149"/>
      <c r="AGI129" s="149"/>
      <c r="AGJ129" s="149"/>
      <c r="AGK129" s="149"/>
      <c r="AGL129" s="149"/>
      <c r="AGM129" s="149"/>
      <c r="AGN129" s="149"/>
      <c r="AGO129" s="149"/>
      <c r="AGP129" s="149"/>
      <c r="AGQ129" s="149"/>
      <c r="AGR129" s="149"/>
      <c r="AGS129" s="149"/>
      <c r="AGT129" s="149"/>
      <c r="AGU129" s="149"/>
      <c r="AGV129" s="149"/>
      <c r="AGW129" s="149"/>
      <c r="AGX129" s="149"/>
      <c r="AGY129" s="149"/>
      <c r="AGZ129" s="149"/>
      <c r="AHA129" s="149"/>
      <c r="AHB129" s="149"/>
      <c r="AHC129" s="149"/>
      <c r="AHD129" s="149"/>
      <c r="AHE129" s="149"/>
      <c r="AHF129" s="149"/>
      <c r="AHG129" s="149"/>
      <c r="AHH129" s="149"/>
      <c r="AHI129" s="149"/>
      <c r="AHJ129" s="149"/>
      <c r="AHK129" s="149"/>
      <c r="AHL129" s="149"/>
      <c r="AHM129" s="149"/>
      <c r="AHN129" s="149"/>
      <c r="AHO129" s="149"/>
      <c r="AHP129" s="149"/>
      <c r="AHQ129" s="149"/>
      <c r="AHR129" s="149"/>
      <c r="AHS129" s="149"/>
      <c r="AHT129" s="149"/>
      <c r="AHU129" s="149"/>
      <c r="AHV129" s="149"/>
      <c r="AHW129" s="149"/>
      <c r="AHX129" s="149"/>
      <c r="AHY129" s="149"/>
      <c r="AHZ129" s="149"/>
      <c r="AIA129" s="149"/>
      <c r="AIB129" s="149"/>
      <c r="AIC129" s="149"/>
      <c r="AID129" s="149"/>
      <c r="AIE129" s="149"/>
      <c r="AIF129" s="149"/>
      <c r="AIG129" s="149"/>
      <c r="AIH129" s="149"/>
      <c r="AII129" s="149"/>
      <c r="AIJ129" s="149"/>
      <c r="AIK129" s="149"/>
      <c r="AIL129" s="149"/>
      <c r="AIM129" s="149"/>
      <c r="AIN129" s="149"/>
      <c r="AIO129" s="149"/>
      <c r="AIP129" s="149"/>
      <c r="AIQ129" s="149"/>
      <c r="AIR129" s="149"/>
      <c r="AIS129" s="149"/>
      <c r="AIT129" s="149"/>
      <c r="AIU129" s="149"/>
      <c r="AIV129" s="149"/>
      <c r="AIW129" s="149"/>
      <c r="AIX129" s="149"/>
      <c r="AIY129" s="149"/>
      <c r="AIZ129" s="149"/>
      <c r="AJA129" s="149"/>
      <c r="AJB129" s="149"/>
      <c r="AJC129" s="149"/>
      <c r="AJD129" s="149"/>
      <c r="AJE129" s="149"/>
      <c r="AJF129" s="149"/>
      <c r="AJG129" s="149"/>
      <c r="AJH129" s="149"/>
      <c r="AJI129" s="149"/>
      <c r="AJJ129" s="149"/>
      <c r="AJK129" s="149"/>
      <c r="AJL129" s="149"/>
      <c r="AJM129" s="149"/>
      <c r="AJN129" s="149"/>
      <c r="AJO129" s="149"/>
      <c r="AJP129" s="149"/>
      <c r="AJQ129" s="149"/>
      <c r="AJR129" s="149"/>
      <c r="AJS129" s="149"/>
      <c r="AJT129" s="149"/>
      <c r="AJU129" s="149"/>
      <c r="AJV129" s="149"/>
      <c r="AJW129" s="149"/>
      <c r="AJX129" s="149"/>
      <c r="AJY129" s="149"/>
      <c r="AJZ129" s="149"/>
      <c r="AKA129" s="149"/>
      <c r="AKB129" s="149"/>
      <c r="AKC129" s="149"/>
      <c r="AKD129" s="149"/>
      <c r="AKE129" s="149"/>
      <c r="AKF129" s="149"/>
      <c r="AKG129" s="149"/>
      <c r="AKH129" s="149"/>
      <c r="AKI129" s="149"/>
      <c r="AKJ129" s="149"/>
      <c r="AKK129" s="149"/>
      <c r="AKL129" s="149"/>
      <c r="AKM129" s="149"/>
      <c r="AKN129" s="149"/>
      <c r="AKO129" s="149"/>
      <c r="AKP129" s="149"/>
      <c r="AKQ129" s="149"/>
      <c r="AKR129" s="149"/>
      <c r="AKS129" s="149"/>
      <c r="AKT129" s="149"/>
      <c r="AKU129" s="149"/>
      <c r="AKV129" s="149"/>
      <c r="AKW129" s="149"/>
      <c r="AKX129" s="149"/>
      <c r="AKY129" s="149"/>
      <c r="AKZ129" s="149"/>
      <c r="ALA129" s="149"/>
      <c r="ALB129" s="149"/>
      <c r="ALC129" s="149"/>
      <c r="ALD129" s="149"/>
      <c r="ALE129" s="149"/>
      <c r="ALF129" s="149"/>
      <c r="ALG129" s="149"/>
      <c r="ALH129" s="149"/>
      <c r="ALI129" s="149"/>
      <c r="ALJ129" s="149"/>
      <c r="ALK129" s="149"/>
      <c r="ALL129" s="149"/>
      <c r="ALM129" s="149"/>
      <c r="ALN129" s="149"/>
      <c r="ALO129" s="149"/>
      <c r="ALP129" s="149"/>
      <c r="ALQ129" s="149"/>
      <c r="ALR129" s="149"/>
      <c r="ALS129" s="149"/>
      <c r="ALT129" s="149"/>
      <c r="ALU129" s="149"/>
      <c r="ALV129" s="149"/>
      <c r="ALW129" s="149"/>
      <c r="ALX129" s="149"/>
      <c r="ALY129" s="149"/>
      <c r="ALZ129" s="149"/>
      <c r="AMA129" s="149"/>
      <c r="AMB129" s="149"/>
      <c r="AMC129" s="149"/>
      <c r="AMD129" s="149"/>
    </row>
    <row r="130" spans="1:1018" s="151" customFormat="1" hidden="1">
      <c r="A130" s="178"/>
      <c r="B130" s="149"/>
      <c r="C130" s="150"/>
      <c r="D130" s="150"/>
      <c r="E130" s="150"/>
      <c r="G130" s="152"/>
      <c r="I130" s="149"/>
      <c r="J130" s="149"/>
      <c r="K130" s="149"/>
      <c r="L130" s="149"/>
      <c r="M130" s="149"/>
      <c r="N130" s="149"/>
      <c r="O130" s="149"/>
      <c r="P130" s="149"/>
      <c r="Q130" s="149"/>
      <c r="R130" s="149"/>
      <c r="S130" s="149"/>
      <c r="T130" s="149"/>
      <c r="U130" s="149"/>
      <c r="V130" s="149"/>
      <c r="W130" s="149"/>
      <c r="X130" s="149"/>
      <c r="Y130" s="149"/>
      <c r="Z130" s="149"/>
      <c r="AA130" s="149"/>
      <c r="AB130" s="149"/>
      <c r="AC130" s="149"/>
      <c r="AD130" s="149"/>
      <c r="AE130" s="149"/>
      <c r="AF130" s="149"/>
      <c r="AG130" s="149"/>
      <c r="AH130" s="149"/>
      <c r="AI130" s="149"/>
      <c r="AJ130" s="149"/>
      <c r="AK130" s="153"/>
      <c r="AL130" s="149"/>
      <c r="AM130" s="149"/>
      <c r="AN130" s="149"/>
      <c r="AO130" s="149"/>
      <c r="AQ130" s="149"/>
      <c r="AR130" s="149"/>
      <c r="AS130" s="149"/>
      <c r="AT130" s="149"/>
      <c r="AU130" s="149"/>
      <c r="AV130" s="149"/>
      <c r="AW130" s="149"/>
      <c r="AX130" s="149"/>
      <c r="AY130" s="149"/>
      <c r="AZ130" s="149"/>
      <c r="BA130" s="149"/>
      <c r="BB130" s="149"/>
      <c r="BC130" s="149"/>
      <c r="BD130" s="149"/>
      <c r="BE130" s="149"/>
      <c r="BF130" s="149"/>
      <c r="BG130" s="149"/>
      <c r="BH130" s="149"/>
      <c r="BI130" s="149"/>
      <c r="BJ130" s="149"/>
      <c r="BK130" s="149"/>
      <c r="BL130" s="149"/>
      <c r="BM130" s="149"/>
      <c r="BN130" s="149"/>
      <c r="BO130" s="149"/>
      <c r="BP130" s="149"/>
      <c r="BQ130" s="149"/>
      <c r="BR130" s="149"/>
      <c r="BS130" s="149"/>
      <c r="BT130" s="149"/>
      <c r="BU130" s="149"/>
      <c r="BV130" s="149"/>
      <c r="BW130" s="149"/>
      <c r="BX130" s="149"/>
      <c r="BY130" s="149"/>
      <c r="BZ130" s="149"/>
      <c r="CA130" s="149"/>
      <c r="CB130" s="149"/>
      <c r="CC130" s="149"/>
      <c r="CD130" s="149"/>
      <c r="CE130" s="149"/>
      <c r="CF130" s="149"/>
      <c r="CG130" s="149"/>
      <c r="CH130" s="149"/>
      <c r="CI130" s="149"/>
      <c r="CJ130" s="149"/>
      <c r="CK130" s="149"/>
      <c r="CL130" s="149"/>
      <c r="CM130" s="149"/>
      <c r="CN130" s="149"/>
      <c r="CO130" s="149"/>
      <c r="CP130" s="149"/>
      <c r="CQ130" s="149"/>
      <c r="CR130" s="149"/>
      <c r="CS130" s="149"/>
      <c r="CT130" s="149"/>
      <c r="CU130" s="149"/>
      <c r="CV130" s="149"/>
      <c r="CW130" s="149"/>
      <c r="CX130" s="149"/>
      <c r="CY130" s="149"/>
      <c r="CZ130" s="149"/>
      <c r="DA130" s="149"/>
      <c r="DB130" s="149"/>
      <c r="DC130" s="149"/>
      <c r="DD130" s="149"/>
      <c r="DE130" s="149"/>
      <c r="DF130" s="149"/>
      <c r="DG130" s="149"/>
      <c r="DH130" s="149"/>
      <c r="DI130" s="149"/>
      <c r="DJ130" s="149"/>
      <c r="DK130" s="149"/>
      <c r="DL130" s="149"/>
      <c r="DM130" s="149"/>
      <c r="DN130" s="149"/>
      <c r="DO130" s="149"/>
      <c r="DP130" s="149"/>
      <c r="DQ130" s="149"/>
      <c r="DR130" s="149"/>
      <c r="DS130" s="149"/>
      <c r="DT130" s="149"/>
      <c r="DU130" s="149"/>
      <c r="DV130" s="149"/>
      <c r="DW130" s="149"/>
      <c r="DX130" s="149"/>
      <c r="DY130" s="149"/>
      <c r="DZ130" s="149"/>
      <c r="EA130" s="149"/>
      <c r="EB130" s="149"/>
      <c r="EC130" s="149"/>
      <c r="ED130" s="149"/>
      <c r="EE130" s="149"/>
      <c r="EF130" s="149"/>
      <c r="EG130" s="149"/>
      <c r="EH130" s="149"/>
      <c r="EI130" s="149"/>
      <c r="EJ130" s="149"/>
      <c r="EK130" s="149"/>
      <c r="EL130" s="149"/>
      <c r="EM130" s="149"/>
      <c r="EN130" s="149"/>
      <c r="EO130" s="149"/>
      <c r="EP130" s="149"/>
      <c r="EQ130" s="149"/>
      <c r="ER130" s="149"/>
      <c r="ES130" s="149"/>
      <c r="ET130" s="149"/>
      <c r="EU130" s="149"/>
      <c r="EV130" s="149"/>
      <c r="EW130" s="149"/>
      <c r="EX130" s="149"/>
      <c r="EY130" s="149"/>
      <c r="EZ130" s="149"/>
      <c r="FA130" s="149"/>
      <c r="FB130" s="149"/>
      <c r="FC130" s="149"/>
      <c r="FD130" s="149"/>
      <c r="FE130" s="149"/>
      <c r="FF130" s="149"/>
      <c r="FG130" s="149"/>
      <c r="FH130" s="149"/>
      <c r="FI130" s="149"/>
      <c r="FJ130" s="149"/>
      <c r="FK130" s="149"/>
      <c r="FL130" s="149"/>
      <c r="FM130" s="149"/>
      <c r="FN130" s="149"/>
      <c r="FO130" s="149"/>
      <c r="FP130" s="149"/>
      <c r="FQ130" s="149"/>
      <c r="FR130" s="149"/>
      <c r="FS130" s="149"/>
      <c r="FT130" s="149"/>
      <c r="FU130" s="149"/>
      <c r="FV130" s="149"/>
      <c r="FW130" s="149"/>
      <c r="FX130" s="149"/>
      <c r="FY130" s="149"/>
      <c r="FZ130" s="149"/>
      <c r="GA130" s="149"/>
      <c r="GB130" s="149"/>
      <c r="GC130" s="149"/>
      <c r="GD130" s="149"/>
      <c r="GE130" s="149"/>
      <c r="GF130" s="149"/>
      <c r="GG130" s="149"/>
      <c r="GH130" s="149"/>
      <c r="GI130" s="149"/>
      <c r="GJ130" s="149"/>
      <c r="GK130" s="149"/>
      <c r="GL130" s="149"/>
      <c r="GM130" s="149"/>
      <c r="GN130" s="149"/>
      <c r="GO130" s="149"/>
      <c r="GP130" s="149"/>
      <c r="GQ130" s="149"/>
      <c r="GR130" s="149"/>
      <c r="GS130" s="149"/>
      <c r="GT130" s="149"/>
      <c r="GU130" s="149"/>
      <c r="GV130" s="149"/>
      <c r="GW130" s="149"/>
      <c r="GX130" s="149"/>
      <c r="GY130" s="149"/>
      <c r="GZ130" s="149"/>
      <c r="HA130" s="149"/>
      <c r="HB130" s="149"/>
      <c r="HC130" s="149"/>
      <c r="HD130" s="149"/>
      <c r="HE130" s="149"/>
      <c r="HF130" s="149"/>
      <c r="HG130" s="149"/>
      <c r="HH130" s="149"/>
      <c r="HI130" s="149"/>
      <c r="HJ130" s="149"/>
      <c r="HK130" s="149"/>
      <c r="HL130" s="149"/>
      <c r="HM130" s="149"/>
      <c r="HN130" s="149"/>
      <c r="HO130" s="149"/>
      <c r="HP130" s="149"/>
      <c r="HQ130" s="149"/>
      <c r="HR130" s="149"/>
      <c r="HS130" s="149"/>
      <c r="HT130" s="149"/>
      <c r="HU130" s="149"/>
      <c r="HV130" s="149"/>
      <c r="HW130" s="149"/>
      <c r="HX130" s="149"/>
      <c r="HY130" s="149"/>
      <c r="HZ130" s="149"/>
      <c r="IA130" s="149"/>
      <c r="IB130" s="149"/>
      <c r="IC130" s="149"/>
      <c r="ID130" s="149"/>
      <c r="IE130" s="149"/>
      <c r="IF130" s="149"/>
      <c r="IG130" s="149"/>
      <c r="IH130" s="149"/>
      <c r="II130" s="149"/>
      <c r="IJ130" s="149"/>
      <c r="IK130" s="149"/>
      <c r="IL130" s="149"/>
      <c r="IM130" s="149"/>
      <c r="IN130" s="149"/>
      <c r="IO130" s="149"/>
      <c r="IP130" s="149"/>
      <c r="IQ130" s="149"/>
      <c r="IR130" s="149"/>
      <c r="IS130" s="149"/>
      <c r="IT130" s="149"/>
      <c r="IU130" s="149"/>
      <c r="IV130" s="149"/>
      <c r="IW130" s="149"/>
      <c r="IX130" s="149"/>
      <c r="IY130" s="149"/>
      <c r="IZ130" s="149"/>
      <c r="JA130" s="149"/>
      <c r="JB130" s="149"/>
      <c r="JC130" s="149"/>
      <c r="JD130" s="149"/>
      <c r="JE130" s="149"/>
      <c r="JF130" s="149"/>
      <c r="JG130" s="149"/>
      <c r="JH130" s="149"/>
      <c r="JI130" s="149"/>
      <c r="JJ130" s="149"/>
      <c r="JK130" s="149"/>
      <c r="JL130" s="149"/>
      <c r="JM130" s="149"/>
      <c r="JN130" s="149"/>
      <c r="JO130" s="149"/>
      <c r="JP130" s="149"/>
      <c r="JQ130" s="149"/>
      <c r="JR130" s="149"/>
      <c r="JS130" s="149"/>
      <c r="JT130" s="149"/>
      <c r="JU130" s="149"/>
      <c r="JV130" s="149"/>
      <c r="JW130" s="149"/>
      <c r="JX130" s="149"/>
      <c r="JY130" s="149"/>
      <c r="JZ130" s="149"/>
      <c r="KA130" s="149"/>
      <c r="KB130" s="149"/>
      <c r="KC130" s="149"/>
      <c r="KD130" s="149"/>
      <c r="KE130" s="149"/>
      <c r="KF130" s="149"/>
      <c r="KG130" s="149"/>
      <c r="KH130" s="149"/>
      <c r="KI130" s="149"/>
      <c r="KJ130" s="149"/>
      <c r="KK130" s="149"/>
      <c r="KL130" s="149"/>
      <c r="KM130" s="149"/>
      <c r="KN130" s="149"/>
      <c r="KO130" s="149"/>
      <c r="KP130" s="149"/>
      <c r="KQ130" s="149"/>
      <c r="KR130" s="149"/>
      <c r="KS130" s="149"/>
      <c r="KT130" s="149"/>
      <c r="KU130" s="149"/>
      <c r="KV130" s="149"/>
      <c r="KW130" s="149"/>
      <c r="KX130" s="149"/>
      <c r="KY130" s="149"/>
      <c r="KZ130" s="149"/>
      <c r="LA130" s="149"/>
      <c r="LB130" s="149"/>
      <c r="LC130" s="149"/>
      <c r="LD130" s="149"/>
      <c r="LE130" s="149"/>
      <c r="LF130" s="149"/>
      <c r="LG130" s="149"/>
      <c r="LH130" s="149"/>
      <c r="LI130" s="149"/>
      <c r="LJ130" s="149"/>
      <c r="LK130" s="149"/>
      <c r="LL130" s="149"/>
      <c r="LM130" s="149"/>
      <c r="LN130" s="149"/>
      <c r="LO130" s="149"/>
      <c r="LP130" s="149"/>
      <c r="LQ130" s="149"/>
      <c r="LR130" s="149"/>
      <c r="LS130" s="149"/>
      <c r="LT130" s="149"/>
      <c r="LU130" s="149"/>
      <c r="LV130" s="149"/>
      <c r="LW130" s="149"/>
      <c r="LX130" s="149"/>
      <c r="LY130" s="149"/>
      <c r="LZ130" s="149"/>
      <c r="MA130" s="149"/>
      <c r="MB130" s="149"/>
      <c r="MC130" s="149"/>
      <c r="MD130" s="149"/>
      <c r="ME130" s="149"/>
      <c r="MF130" s="149"/>
      <c r="MG130" s="149"/>
      <c r="MH130" s="149"/>
      <c r="MI130" s="149"/>
      <c r="MJ130" s="149"/>
      <c r="MK130" s="149"/>
      <c r="ML130" s="149"/>
      <c r="MM130" s="149"/>
      <c r="MN130" s="149"/>
      <c r="MO130" s="149"/>
      <c r="MP130" s="149"/>
      <c r="MQ130" s="149"/>
      <c r="MR130" s="149"/>
      <c r="MS130" s="149"/>
      <c r="MT130" s="149"/>
      <c r="MU130" s="149"/>
      <c r="MV130" s="149"/>
      <c r="MW130" s="149"/>
      <c r="MX130" s="149"/>
      <c r="MY130" s="149"/>
      <c r="MZ130" s="149"/>
      <c r="NA130" s="149"/>
      <c r="NB130" s="149"/>
      <c r="NC130" s="149"/>
      <c r="ND130" s="149"/>
      <c r="NE130" s="149"/>
      <c r="NF130" s="149"/>
      <c r="NG130" s="149"/>
      <c r="NH130" s="149"/>
      <c r="NI130" s="149"/>
      <c r="NJ130" s="149"/>
      <c r="NK130" s="149"/>
      <c r="NL130" s="149"/>
      <c r="NM130" s="149"/>
      <c r="NN130" s="149"/>
      <c r="NO130" s="149"/>
      <c r="NP130" s="149"/>
      <c r="NQ130" s="149"/>
      <c r="NR130" s="149"/>
      <c r="NS130" s="149"/>
      <c r="NT130" s="149"/>
      <c r="NU130" s="149"/>
      <c r="NV130" s="149"/>
      <c r="NW130" s="149"/>
      <c r="NX130" s="149"/>
      <c r="NY130" s="149"/>
      <c r="NZ130" s="149"/>
      <c r="OA130" s="149"/>
      <c r="OB130" s="149"/>
      <c r="OC130" s="149"/>
      <c r="OD130" s="149"/>
      <c r="OE130" s="149"/>
      <c r="OF130" s="149"/>
      <c r="OG130" s="149"/>
      <c r="OH130" s="149"/>
      <c r="OI130" s="149"/>
      <c r="OJ130" s="149"/>
      <c r="OK130" s="149"/>
      <c r="OL130" s="149"/>
      <c r="OM130" s="149"/>
      <c r="ON130" s="149"/>
      <c r="OO130" s="149"/>
      <c r="OP130" s="149"/>
      <c r="OQ130" s="149"/>
      <c r="OR130" s="149"/>
      <c r="OS130" s="149"/>
      <c r="OT130" s="149"/>
      <c r="OU130" s="149"/>
      <c r="OV130" s="149"/>
      <c r="OW130" s="149"/>
      <c r="OX130" s="149"/>
      <c r="OY130" s="149"/>
      <c r="OZ130" s="149"/>
      <c r="PA130" s="149"/>
      <c r="PB130" s="149"/>
      <c r="PC130" s="149"/>
      <c r="PD130" s="149"/>
      <c r="PE130" s="149"/>
      <c r="PF130" s="149"/>
      <c r="PG130" s="149"/>
      <c r="PH130" s="149"/>
      <c r="PI130" s="149"/>
      <c r="PJ130" s="149"/>
      <c r="PK130" s="149"/>
      <c r="PL130" s="149"/>
      <c r="PM130" s="149"/>
      <c r="PN130" s="149"/>
      <c r="PO130" s="149"/>
      <c r="PP130" s="149"/>
      <c r="PQ130" s="149"/>
      <c r="PR130" s="149"/>
      <c r="PS130" s="149"/>
      <c r="PT130" s="149"/>
      <c r="PU130" s="149"/>
      <c r="PV130" s="149"/>
      <c r="PW130" s="149"/>
      <c r="PX130" s="149"/>
      <c r="PY130" s="149"/>
      <c r="PZ130" s="149"/>
      <c r="QA130" s="149"/>
      <c r="QB130" s="149"/>
      <c r="QC130" s="149"/>
      <c r="QD130" s="149"/>
      <c r="QE130" s="149"/>
      <c r="QF130" s="149"/>
      <c r="QG130" s="149"/>
      <c r="QH130" s="149"/>
      <c r="QI130" s="149"/>
      <c r="QJ130" s="149"/>
      <c r="QK130" s="149"/>
      <c r="QL130" s="149"/>
      <c r="QM130" s="149"/>
      <c r="QN130" s="149"/>
      <c r="QO130" s="149"/>
      <c r="QP130" s="149"/>
      <c r="QQ130" s="149"/>
      <c r="QR130" s="149"/>
      <c r="QS130" s="149"/>
      <c r="QT130" s="149"/>
      <c r="QU130" s="149"/>
      <c r="QV130" s="149"/>
      <c r="QW130" s="149"/>
      <c r="QX130" s="149"/>
      <c r="QY130" s="149"/>
      <c r="QZ130" s="149"/>
      <c r="RA130" s="149"/>
      <c r="RB130" s="149"/>
      <c r="RC130" s="149"/>
      <c r="RD130" s="149"/>
      <c r="RE130" s="149"/>
      <c r="RF130" s="149"/>
      <c r="RG130" s="149"/>
      <c r="RH130" s="149"/>
      <c r="RI130" s="149"/>
      <c r="RJ130" s="149"/>
      <c r="RK130" s="149"/>
      <c r="RL130" s="149"/>
      <c r="RM130" s="149"/>
      <c r="RN130" s="149"/>
      <c r="RO130" s="149"/>
      <c r="RP130" s="149"/>
      <c r="RQ130" s="149"/>
      <c r="RR130" s="149"/>
      <c r="RS130" s="149"/>
      <c r="RT130" s="149"/>
      <c r="RU130" s="149"/>
      <c r="RV130" s="149"/>
      <c r="RW130" s="149"/>
      <c r="RX130" s="149"/>
      <c r="RY130" s="149"/>
      <c r="RZ130" s="149"/>
      <c r="SA130" s="149"/>
      <c r="SB130" s="149"/>
      <c r="SC130" s="149"/>
      <c r="SD130" s="149"/>
      <c r="SE130" s="149"/>
      <c r="SF130" s="149"/>
      <c r="SG130" s="149"/>
      <c r="SH130" s="149"/>
      <c r="SI130" s="149"/>
      <c r="SJ130" s="149"/>
      <c r="SK130" s="149"/>
      <c r="SL130" s="149"/>
      <c r="SM130" s="149"/>
      <c r="SN130" s="149"/>
      <c r="SO130" s="149"/>
      <c r="SP130" s="149"/>
      <c r="SQ130" s="149"/>
      <c r="SR130" s="149"/>
      <c r="SS130" s="149"/>
      <c r="ST130" s="149"/>
      <c r="SU130" s="149"/>
      <c r="SV130" s="149"/>
      <c r="SW130" s="149"/>
      <c r="SX130" s="149"/>
      <c r="SY130" s="149"/>
      <c r="SZ130" s="149"/>
      <c r="TA130" s="149"/>
      <c r="TB130" s="149"/>
      <c r="TC130" s="149"/>
      <c r="TD130" s="149"/>
      <c r="TE130" s="149"/>
      <c r="TF130" s="149"/>
      <c r="TG130" s="149"/>
      <c r="TH130" s="149"/>
      <c r="TI130" s="149"/>
      <c r="TJ130" s="149"/>
      <c r="TK130" s="149"/>
      <c r="TL130" s="149"/>
      <c r="TM130" s="149"/>
      <c r="TN130" s="149"/>
      <c r="TO130" s="149"/>
      <c r="TP130" s="149"/>
      <c r="TQ130" s="149"/>
      <c r="TR130" s="149"/>
      <c r="TS130" s="149"/>
      <c r="TT130" s="149"/>
      <c r="TU130" s="149"/>
      <c r="TV130" s="149"/>
      <c r="TW130" s="149"/>
      <c r="TX130" s="149"/>
      <c r="TY130" s="149"/>
      <c r="TZ130" s="149"/>
      <c r="UA130" s="149"/>
      <c r="UB130" s="149"/>
      <c r="UC130" s="149"/>
      <c r="UD130" s="149"/>
      <c r="UE130" s="149"/>
      <c r="UF130" s="149"/>
      <c r="UG130" s="149"/>
      <c r="UH130" s="149"/>
      <c r="UI130" s="149"/>
      <c r="UJ130" s="149"/>
      <c r="UK130" s="149"/>
      <c r="UL130" s="149"/>
      <c r="UM130" s="149"/>
      <c r="UN130" s="149"/>
      <c r="UO130" s="149"/>
      <c r="UP130" s="149"/>
      <c r="UQ130" s="149"/>
      <c r="UR130" s="149"/>
      <c r="US130" s="149"/>
      <c r="UT130" s="149"/>
      <c r="UU130" s="149"/>
      <c r="UV130" s="149"/>
      <c r="UW130" s="149"/>
      <c r="UX130" s="149"/>
      <c r="UY130" s="149"/>
      <c r="UZ130" s="149"/>
      <c r="VA130" s="149"/>
      <c r="VB130" s="149"/>
      <c r="VC130" s="149"/>
      <c r="VD130" s="149"/>
      <c r="VE130" s="149"/>
      <c r="VF130" s="149"/>
      <c r="VG130" s="149"/>
      <c r="VH130" s="149"/>
      <c r="VI130" s="149"/>
      <c r="VJ130" s="149"/>
      <c r="VK130" s="149"/>
      <c r="VL130" s="149"/>
      <c r="VM130" s="149"/>
      <c r="VN130" s="149"/>
      <c r="VO130" s="149"/>
      <c r="VP130" s="149"/>
      <c r="VQ130" s="149"/>
      <c r="VR130" s="149"/>
      <c r="VS130" s="149"/>
      <c r="VT130" s="149"/>
      <c r="VU130" s="149"/>
      <c r="VV130" s="149"/>
      <c r="VW130" s="149"/>
      <c r="VX130" s="149"/>
      <c r="VY130" s="149"/>
      <c r="VZ130" s="149"/>
      <c r="WA130" s="149"/>
      <c r="WB130" s="149"/>
      <c r="WC130" s="149"/>
      <c r="WD130" s="149"/>
      <c r="WE130" s="149"/>
      <c r="WF130" s="149"/>
      <c r="WG130" s="149"/>
      <c r="WH130" s="149"/>
      <c r="WI130" s="149"/>
      <c r="WJ130" s="149"/>
      <c r="WK130" s="149"/>
      <c r="WL130" s="149"/>
      <c r="WM130" s="149"/>
      <c r="WN130" s="149"/>
      <c r="WO130" s="149"/>
      <c r="WP130" s="149"/>
      <c r="WQ130" s="149"/>
      <c r="WR130" s="149"/>
      <c r="WS130" s="149"/>
      <c r="WT130" s="149"/>
      <c r="WU130" s="149"/>
      <c r="WV130" s="149"/>
      <c r="WW130" s="149"/>
      <c r="WX130" s="149"/>
      <c r="WY130" s="149"/>
      <c r="WZ130" s="149"/>
      <c r="XA130" s="149"/>
      <c r="XB130" s="149"/>
      <c r="XC130" s="149"/>
      <c r="XD130" s="149"/>
      <c r="XE130" s="149"/>
      <c r="XF130" s="149"/>
      <c r="XG130" s="149"/>
      <c r="XH130" s="149"/>
      <c r="XI130" s="149"/>
      <c r="XJ130" s="149"/>
      <c r="XK130" s="149"/>
      <c r="XL130" s="149"/>
      <c r="XM130" s="149"/>
      <c r="XN130" s="149"/>
      <c r="XO130" s="149"/>
      <c r="XP130" s="149"/>
      <c r="XQ130" s="149"/>
      <c r="XR130" s="149"/>
      <c r="XS130" s="149"/>
      <c r="XT130" s="149"/>
      <c r="XU130" s="149"/>
      <c r="XV130" s="149"/>
      <c r="XW130" s="149"/>
      <c r="XX130" s="149"/>
      <c r="XY130" s="149"/>
      <c r="XZ130" s="149"/>
      <c r="YA130" s="149"/>
      <c r="YB130" s="149"/>
      <c r="YC130" s="149"/>
      <c r="YD130" s="149"/>
      <c r="YE130" s="149"/>
      <c r="YF130" s="149"/>
      <c r="YG130" s="149"/>
      <c r="YH130" s="149"/>
      <c r="YI130" s="149"/>
      <c r="YJ130" s="149"/>
      <c r="YK130" s="149"/>
      <c r="YL130" s="149"/>
      <c r="YM130" s="149"/>
      <c r="YN130" s="149"/>
      <c r="YO130" s="149"/>
      <c r="YP130" s="149"/>
      <c r="YQ130" s="149"/>
      <c r="YR130" s="149"/>
      <c r="YS130" s="149"/>
      <c r="YT130" s="149"/>
      <c r="YU130" s="149"/>
      <c r="YV130" s="149"/>
      <c r="YW130" s="149"/>
      <c r="YX130" s="149"/>
      <c r="YY130" s="149"/>
      <c r="YZ130" s="149"/>
      <c r="ZA130" s="149"/>
      <c r="ZB130" s="149"/>
      <c r="ZC130" s="149"/>
      <c r="ZD130" s="149"/>
      <c r="ZE130" s="149"/>
      <c r="ZF130" s="149"/>
      <c r="ZG130" s="149"/>
      <c r="ZH130" s="149"/>
      <c r="ZI130" s="149"/>
      <c r="ZJ130" s="149"/>
      <c r="ZK130" s="149"/>
      <c r="ZL130" s="149"/>
      <c r="ZM130" s="149"/>
      <c r="ZN130" s="149"/>
      <c r="ZO130" s="149"/>
      <c r="ZP130" s="149"/>
      <c r="ZQ130" s="149"/>
      <c r="ZR130" s="149"/>
      <c r="ZS130" s="149"/>
      <c r="ZT130" s="149"/>
      <c r="ZU130" s="149"/>
      <c r="ZV130" s="149"/>
      <c r="ZW130" s="149"/>
      <c r="ZX130" s="149"/>
      <c r="ZY130" s="149"/>
      <c r="ZZ130" s="149"/>
      <c r="AAA130" s="149"/>
      <c r="AAB130" s="149"/>
      <c r="AAC130" s="149"/>
      <c r="AAD130" s="149"/>
      <c r="AAE130" s="149"/>
      <c r="AAF130" s="149"/>
      <c r="AAG130" s="149"/>
      <c r="AAH130" s="149"/>
      <c r="AAI130" s="149"/>
      <c r="AAJ130" s="149"/>
      <c r="AAK130" s="149"/>
      <c r="AAL130" s="149"/>
      <c r="AAM130" s="149"/>
      <c r="AAN130" s="149"/>
      <c r="AAO130" s="149"/>
      <c r="AAP130" s="149"/>
      <c r="AAQ130" s="149"/>
      <c r="AAR130" s="149"/>
      <c r="AAS130" s="149"/>
      <c r="AAT130" s="149"/>
      <c r="AAU130" s="149"/>
      <c r="AAV130" s="149"/>
      <c r="AAW130" s="149"/>
      <c r="AAX130" s="149"/>
      <c r="AAY130" s="149"/>
      <c r="AAZ130" s="149"/>
      <c r="ABA130" s="149"/>
      <c r="ABB130" s="149"/>
      <c r="ABC130" s="149"/>
      <c r="ABD130" s="149"/>
      <c r="ABE130" s="149"/>
      <c r="ABF130" s="149"/>
      <c r="ABG130" s="149"/>
      <c r="ABH130" s="149"/>
      <c r="ABI130" s="149"/>
      <c r="ABJ130" s="149"/>
      <c r="ABK130" s="149"/>
      <c r="ABL130" s="149"/>
      <c r="ABM130" s="149"/>
      <c r="ABN130" s="149"/>
      <c r="ABO130" s="149"/>
      <c r="ABP130" s="149"/>
      <c r="ABQ130" s="149"/>
      <c r="ABR130" s="149"/>
      <c r="ABS130" s="149"/>
      <c r="ABT130" s="149"/>
      <c r="ABU130" s="149"/>
      <c r="ABV130" s="149"/>
      <c r="ABW130" s="149"/>
      <c r="ABX130" s="149"/>
      <c r="ABY130" s="149"/>
      <c r="ABZ130" s="149"/>
      <c r="ACA130" s="149"/>
      <c r="ACB130" s="149"/>
      <c r="ACC130" s="149"/>
      <c r="ACD130" s="149"/>
      <c r="ACE130" s="149"/>
      <c r="ACF130" s="149"/>
      <c r="ACG130" s="149"/>
      <c r="ACH130" s="149"/>
      <c r="ACI130" s="149"/>
      <c r="ACJ130" s="149"/>
      <c r="ACK130" s="149"/>
      <c r="ACL130" s="149"/>
      <c r="ACM130" s="149"/>
      <c r="ACN130" s="149"/>
      <c r="ACO130" s="149"/>
      <c r="ACP130" s="149"/>
      <c r="ACQ130" s="149"/>
      <c r="ACR130" s="149"/>
      <c r="ACS130" s="149"/>
      <c r="ACT130" s="149"/>
      <c r="ACU130" s="149"/>
      <c r="ACV130" s="149"/>
      <c r="ACW130" s="149"/>
      <c r="ACX130" s="149"/>
      <c r="ACY130" s="149"/>
      <c r="ACZ130" s="149"/>
      <c r="ADA130" s="149"/>
      <c r="ADB130" s="149"/>
      <c r="ADC130" s="149"/>
      <c r="ADD130" s="149"/>
      <c r="ADE130" s="149"/>
      <c r="ADF130" s="149"/>
      <c r="ADG130" s="149"/>
      <c r="ADH130" s="149"/>
      <c r="ADI130" s="149"/>
      <c r="ADJ130" s="149"/>
      <c r="ADK130" s="149"/>
      <c r="ADL130" s="149"/>
      <c r="ADM130" s="149"/>
      <c r="ADN130" s="149"/>
      <c r="ADO130" s="149"/>
      <c r="ADP130" s="149"/>
      <c r="ADQ130" s="149"/>
      <c r="ADR130" s="149"/>
      <c r="ADS130" s="149"/>
      <c r="ADT130" s="149"/>
      <c r="ADU130" s="149"/>
      <c r="ADV130" s="149"/>
      <c r="ADW130" s="149"/>
      <c r="ADX130" s="149"/>
      <c r="ADY130" s="149"/>
      <c r="ADZ130" s="149"/>
      <c r="AEA130" s="149"/>
      <c r="AEB130" s="149"/>
      <c r="AEC130" s="149"/>
      <c r="AED130" s="149"/>
      <c r="AEE130" s="149"/>
      <c r="AEF130" s="149"/>
      <c r="AEG130" s="149"/>
      <c r="AEH130" s="149"/>
      <c r="AEI130" s="149"/>
      <c r="AEJ130" s="149"/>
      <c r="AEK130" s="149"/>
      <c r="AEL130" s="149"/>
      <c r="AEM130" s="149"/>
      <c r="AEN130" s="149"/>
      <c r="AEO130" s="149"/>
      <c r="AEP130" s="149"/>
      <c r="AEQ130" s="149"/>
      <c r="AER130" s="149"/>
      <c r="AES130" s="149"/>
      <c r="AET130" s="149"/>
      <c r="AEU130" s="149"/>
      <c r="AEV130" s="149"/>
      <c r="AEW130" s="149"/>
      <c r="AEX130" s="149"/>
      <c r="AEY130" s="149"/>
      <c r="AEZ130" s="149"/>
      <c r="AFA130" s="149"/>
      <c r="AFB130" s="149"/>
      <c r="AFC130" s="149"/>
      <c r="AFD130" s="149"/>
      <c r="AFE130" s="149"/>
      <c r="AFF130" s="149"/>
      <c r="AFG130" s="149"/>
      <c r="AFH130" s="149"/>
      <c r="AFI130" s="149"/>
      <c r="AFJ130" s="149"/>
      <c r="AFK130" s="149"/>
      <c r="AFL130" s="149"/>
      <c r="AFM130" s="149"/>
      <c r="AFN130" s="149"/>
      <c r="AFO130" s="149"/>
      <c r="AFP130" s="149"/>
      <c r="AFQ130" s="149"/>
      <c r="AFR130" s="149"/>
      <c r="AFS130" s="149"/>
      <c r="AFT130" s="149"/>
      <c r="AFU130" s="149"/>
      <c r="AFV130" s="149"/>
      <c r="AFW130" s="149"/>
      <c r="AFX130" s="149"/>
      <c r="AFY130" s="149"/>
      <c r="AFZ130" s="149"/>
      <c r="AGA130" s="149"/>
      <c r="AGB130" s="149"/>
      <c r="AGC130" s="149"/>
      <c r="AGD130" s="149"/>
      <c r="AGE130" s="149"/>
      <c r="AGF130" s="149"/>
      <c r="AGG130" s="149"/>
      <c r="AGH130" s="149"/>
      <c r="AGI130" s="149"/>
      <c r="AGJ130" s="149"/>
      <c r="AGK130" s="149"/>
      <c r="AGL130" s="149"/>
      <c r="AGM130" s="149"/>
      <c r="AGN130" s="149"/>
      <c r="AGO130" s="149"/>
      <c r="AGP130" s="149"/>
      <c r="AGQ130" s="149"/>
      <c r="AGR130" s="149"/>
      <c r="AGS130" s="149"/>
      <c r="AGT130" s="149"/>
      <c r="AGU130" s="149"/>
      <c r="AGV130" s="149"/>
      <c r="AGW130" s="149"/>
      <c r="AGX130" s="149"/>
      <c r="AGY130" s="149"/>
      <c r="AGZ130" s="149"/>
      <c r="AHA130" s="149"/>
      <c r="AHB130" s="149"/>
      <c r="AHC130" s="149"/>
      <c r="AHD130" s="149"/>
      <c r="AHE130" s="149"/>
      <c r="AHF130" s="149"/>
      <c r="AHG130" s="149"/>
      <c r="AHH130" s="149"/>
      <c r="AHI130" s="149"/>
      <c r="AHJ130" s="149"/>
      <c r="AHK130" s="149"/>
      <c r="AHL130" s="149"/>
      <c r="AHM130" s="149"/>
      <c r="AHN130" s="149"/>
      <c r="AHO130" s="149"/>
      <c r="AHP130" s="149"/>
      <c r="AHQ130" s="149"/>
      <c r="AHR130" s="149"/>
      <c r="AHS130" s="149"/>
      <c r="AHT130" s="149"/>
      <c r="AHU130" s="149"/>
      <c r="AHV130" s="149"/>
      <c r="AHW130" s="149"/>
      <c r="AHX130" s="149"/>
      <c r="AHY130" s="149"/>
      <c r="AHZ130" s="149"/>
      <c r="AIA130" s="149"/>
      <c r="AIB130" s="149"/>
      <c r="AIC130" s="149"/>
      <c r="AID130" s="149"/>
      <c r="AIE130" s="149"/>
      <c r="AIF130" s="149"/>
      <c r="AIG130" s="149"/>
      <c r="AIH130" s="149"/>
      <c r="AII130" s="149"/>
      <c r="AIJ130" s="149"/>
      <c r="AIK130" s="149"/>
      <c r="AIL130" s="149"/>
      <c r="AIM130" s="149"/>
      <c r="AIN130" s="149"/>
      <c r="AIO130" s="149"/>
      <c r="AIP130" s="149"/>
      <c r="AIQ130" s="149"/>
      <c r="AIR130" s="149"/>
      <c r="AIS130" s="149"/>
      <c r="AIT130" s="149"/>
      <c r="AIU130" s="149"/>
      <c r="AIV130" s="149"/>
      <c r="AIW130" s="149"/>
      <c r="AIX130" s="149"/>
      <c r="AIY130" s="149"/>
      <c r="AIZ130" s="149"/>
      <c r="AJA130" s="149"/>
      <c r="AJB130" s="149"/>
      <c r="AJC130" s="149"/>
      <c r="AJD130" s="149"/>
      <c r="AJE130" s="149"/>
      <c r="AJF130" s="149"/>
      <c r="AJG130" s="149"/>
      <c r="AJH130" s="149"/>
      <c r="AJI130" s="149"/>
      <c r="AJJ130" s="149"/>
      <c r="AJK130" s="149"/>
      <c r="AJL130" s="149"/>
      <c r="AJM130" s="149"/>
      <c r="AJN130" s="149"/>
      <c r="AJO130" s="149"/>
      <c r="AJP130" s="149"/>
      <c r="AJQ130" s="149"/>
      <c r="AJR130" s="149"/>
      <c r="AJS130" s="149"/>
      <c r="AJT130" s="149"/>
      <c r="AJU130" s="149"/>
      <c r="AJV130" s="149"/>
      <c r="AJW130" s="149"/>
      <c r="AJX130" s="149"/>
      <c r="AJY130" s="149"/>
      <c r="AJZ130" s="149"/>
      <c r="AKA130" s="149"/>
      <c r="AKB130" s="149"/>
      <c r="AKC130" s="149"/>
      <c r="AKD130" s="149"/>
      <c r="AKE130" s="149"/>
      <c r="AKF130" s="149"/>
      <c r="AKG130" s="149"/>
      <c r="AKH130" s="149"/>
      <c r="AKI130" s="149"/>
      <c r="AKJ130" s="149"/>
      <c r="AKK130" s="149"/>
      <c r="AKL130" s="149"/>
      <c r="AKM130" s="149"/>
      <c r="AKN130" s="149"/>
      <c r="AKO130" s="149"/>
      <c r="AKP130" s="149"/>
      <c r="AKQ130" s="149"/>
      <c r="AKR130" s="149"/>
      <c r="AKS130" s="149"/>
      <c r="AKT130" s="149"/>
      <c r="AKU130" s="149"/>
      <c r="AKV130" s="149"/>
      <c r="AKW130" s="149"/>
      <c r="AKX130" s="149"/>
      <c r="AKY130" s="149"/>
      <c r="AKZ130" s="149"/>
      <c r="ALA130" s="149"/>
      <c r="ALB130" s="149"/>
      <c r="ALC130" s="149"/>
      <c r="ALD130" s="149"/>
      <c r="ALE130" s="149"/>
      <c r="ALF130" s="149"/>
      <c r="ALG130" s="149"/>
      <c r="ALH130" s="149"/>
      <c r="ALI130" s="149"/>
      <c r="ALJ130" s="149"/>
      <c r="ALK130" s="149"/>
      <c r="ALL130" s="149"/>
      <c r="ALM130" s="149"/>
      <c r="ALN130" s="149"/>
      <c r="ALO130" s="149"/>
      <c r="ALP130" s="149"/>
      <c r="ALQ130" s="149"/>
      <c r="ALR130" s="149"/>
      <c r="ALS130" s="149"/>
      <c r="ALT130" s="149"/>
      <c r="ALU130" s="149"/>
      <c r="ALV130" s="149"/>
      <c r="ALW130" s="149"/>
      <c r="ALX130" s="149"/>
      <c r="ALY130" s="149"/>
      <c r="ALZ130" s="149"/>
      <c r="AMA130" s="149"/>
      <c r="AMB130" s="149"/>
      <c r="AMC130" s="149"/>
      <c r="AMD130" s="149"/>
    </row>
    <row r="131" spans="1:1018" s="151" customFormat="1" hidden="1">
      <c r="A131" s="178"/>
      <c r="B131" s="149"/>
      <c r="C131" s="150"/>
      <c r="D131" s="150"/>
      <c r="E131" s="150"/>
      <c r="G131" s="152"/>
      <c r="I131" s="149"/>
      <c r="J131" s="149"/>
      <c r="K131" s="149"/>
      <c r="L131" s="149"/>
      <c r="M131" s="149"/>
      <c r="N131" s="149"/>
      <c r="O131" s="149"/>
      <c r="P131" s="149"/>
      <c r="Q131" s="149"/>
      <c r="R131" s="149"/>
      <c r="S131" s="149"/>
      <c r="T131" s="149"/>
      <c r="U131" s="149"/>
      <c r="V131" s="149"/>
      <c r="W131" s="149"/>
      <c r="X131" s="149"/>
      <c r="Y131" s="149"/>
      <c r="Z131" s="149"/>
      <c r="AA131" s="149"/>
      <c r="AB131" s="149"/>
      <c r="AC131" s="149"/>
      <c r="AD131" s="149"/>
      <c r="AE131" s="149"/>
      <c r="AF131" s="149"/>
      <c r="AG131" s="149"/>
      <c r="AH131" s="149"/>
      <c r="AI131" s="149"/>
      <c r="AJ131" s="149"/>
      <c r="AK131" s="153"/>
      <c r="AL131" s="149"/>
      <c r="AM131" s="149"/>
      <c r="AN131" s="149"/>
      <c r="AO131" s="149"/>
      <c r="AQ131" s="149"/>
      <c r="AR131" s="149"/>
      <c r="AS131" s="149"/>
      <c r="AT131" s="149"/>
      <c r="AU131" s="149"/>
      <c r="AV131" s="149"/>
      <c r="AW131" s="149"/>
      <c r="AX131" s="149"/>
      <c r="AY131" s="149"/>
      <c r="AZ131" s="149"/>
      <c r="BA131" s="149"/>
      <c r="BB131" s="149"/>
      <c r="BC131" s="149"/>
      <c r="BD131" s="149"/>
      <c r="BE131" s="149"/>
      <c r="BF131" s="149"/>
      <c r="BG131" s="149"/>
      <c r="BH131" s="149"/>
      <c r="BI131" s="149"/>
      <c r="BJ131" s="149"/>
      <c r="BK131" s="149"/>
      <c r="BL131" s="149"/>
      <c r="BM131" s="149"/>
      <c r="BN131" s="149"/>
      <c r="BO131" s="149"/>
      <c r="BP131" s="149"/>
      <c r="BQ131" s="149"/>
      <c r="BR131" s="149"/>
      <c r="BS131" s="149"/>
      <c r="BT131" s="149"/>
      <c r="BU131" s="149"/>
      <c r="BV131" s="149"/>
      <c r="BW131" s="149"/>
      <c r="BX131" s="149"/>
      <c r="BY131" s="149"/>
      <c r="BZ131" s="149"/>
      <c r="CA131" s="149"/>
      <c r="CB131" s="149"/>
      <c r="CC131" s="149"/>
      <c r="CD131" s="149"/>
      <c r="CE131" s="149"/>
      <c r="CF131" s="149"/>
      <c r="CG131" s="149"/>
      <c r="CH131" s="149"/>
      <c r="CI131" s="149"/>
      <c r="CJ131" s="149"/>
      <c r="CK131" s="149"/>
      <c r="CL131" s="149"/>
      <c r="CM131" s="149"/>
      <c r="CN131" s="149"/>
      <c r="CO131" s="149"/>
      <c r="CP131" s="149"/>
      <c r="CQ131" s="149"/>
      <c r="CR131" s="149"/>
      <c r="CS131" s="149"/>
      <c r="CT131" s="149"/>
      <c r="CU131" s="149"/>
      <c r="CV131" s="149"/>
      <c r="CW131" s="149"/>
      <c r="CX131" s="149"/>
      <c r="CY131" s="149"/>
      <c r="CZ131" s="149"/>
      <c r="DA131" s="149"/>
      <c r="DB131" s="149"/>
      <c r="DC131" s="149"/>
      <c r="DD131" s="149"/>
      <c r="DE131" s="149"/>
      <c r="DF131" s="149"/>
      <c r="DG131" s="149"/>
      <c r="DH131" s="149"/>
      <c r="DI131" s="149"/>
      <c r="DJ131" s="149"/>
      <c r="DK131" s="149"/>
      <c r="DL131" s="149"/>
      <c r="DM131" s="149"/>
      <c r="DN131" s="149"/>
      <c r="DO131" s="149"/>
      <c r="DP131" s="149"/>
      <c r="DQ131" s="149"/>
      <c r="DR131" s="149"/>
      <c r="DS131" s="149"/>
      <c r="DT131" s="149"/>
      <c r="DU131" s="149"/>
      <c r="DV131" s="149"/>
      <c r="DW131" s="149"/>
      <c r="DX131" s="149"/>
      <c r="DY131" s="149"/>
      <c r="DZ131" s="149"/>
      <c r="EA131" s="149"/>
      <c r="EB131" s="149"/>
      <c r="EC131" s="149"/>
      <c r="ED131" s="149"/>
      <c r="EE131" s="149"/>
      <c r="EF131" s="149"/>
      <c r="EG131" s="149"/>
      <c r="EH131" s="149"/>
      <c r="EI131" s="149"/>
      <c r="EJ131" s="149"/>
      <c r="EK131" s="149"/>
      <c r="EL131" s="149"/>
      <c r="EM131" s="149"/>
      <c r="EN131" s="149"/>
      <c r="EO131" s="149"/>
      <c r="EP131" s="149"/>
      <c r="EQ131" s="149"/>
      <c r="ER131" s="149"/>
      <c r="ES131" s="149"/>
      <c r="ET131" s="149"/>
      <c r="EU131" s="149"/>
      <c r="EV131" s="149"/>
      <c r="EW131" s="149"/>
      <c r="EX131" s="149"/>
      <c r="EY131" s="149"/>
      <c r="EZ131" s="149"/>
      <c r="FA131" s="149"/>
      <c r="FB131" s="149"/>
      <c r="FC131" s="149"/>
      <c r="FD131" s="149"/>
      <c r="FE131" s="149"/>
      <c r="FF131" s="149"/>
      <c r="FG131" s="149"/>
      <c r="FH131" s="149"/>
      <c r="FI131" s="149"/>
      <c r="FJ131" s="149"/>
      <c r="FK131" s="149"/>
      <c r="FL131" s="149"/>
      <c r="FM131" s="149"/>
      <c r="FN131" s="149"/>
      <c r="FO131" s="149"/>
      <c r="FP131" s="149"/>
      <c r="FQ131" s="149"/>
      <c r="FR131" s="149"/>
      <c r="FS131" s="149"/>
      <c r="FT131" s="149"/>
      <c r="FU131" s="149"/>
      <c r="FV131" s="149"/>
      <c r="FW131" s="149"/>
      <c r="FX131" s="149"/>
      <c r="FY131" s="149"/>
      <c r="FZ131" s="149"/>
      <c r="GA131" s="149"/>
      <c r="GB131" s="149"/>
      <c r="GC131" s="149"/>
      <c r="GD131" s="149"/>
      <c r="GE131" s="149"/>
      <c r="GF131" s="149"/>
      <c r="GG131" s="149"/>
      <c r="GH131" s="149"/>
      <c r="GI131" s="149"/>
      <c r="GJ131" s="149"/>
      <c r="GK131" s="149"/>
      <c r="GL131" s="149"/>
      <c r="GM131" s="149"/>
      <c r="GN131" s="149"/>
      <c r="GO131" s="149"/>
      <c r="GP131" s="149"/>
      <c r="GQ131" s="149"/>
      <c r="GR131" s="149"/>
      <c r="GS131" s="149"/>
      <c r="GT131" s="149"/>
      <c r="GU131" s="149"/>
      <c r="GV131" s="149"/>
      <c r="GW131" s="149"/>
      <c r="GX131" s="149"/>
      <c r="GY131" s="149"/>
      <c r="GZ131" s="149"/>
      <c r="HA131" s="149"/>
      <c r="HB131" s="149"/>
      <c r="HC131" s="149"/>
      <c r="HD131" s="149"/>
      <c r="HE131" s="149"/>
      <c r="HF131" s="149"/>
      <c r="HG131" s="149"/>
      <c r="HH131" s="149"/>
      <c r="HI131" s="149"/>
      <c r="HJ131" s="149"/>
      <c r="HK131" s="149"/>
      <c r="HL131" s="149"/>
      <c r="HM131" s="149"/>
      <c r="HN131" s="149"/>
      <c r="HO131" s="149"/>
      <c r="HP131" s="149"/>
      <c r="HQ131" s="149"/>
      <c r="HR131" s="149"/>
      <c r="HS131" s="149"/>
      <c r="HT131" s="149"/>
      <c r="HU131" s="149"/>
      <c r="HV131" s="149"/>
      <c r="HW131" s="149"/>
      <c r="HX131" s="149"/>
      <c r="HY131" s="149"/>
      <c r="HZ131" s="149"/>
      <c r="IA131" s="149"/>
      <c r="IB131" s="149"/>
      <c r="IC131" s="149"/>
      <c r="ID131" s="149"/>
      <c r="IE131" s="149"/>
      <c r="IF131" s="149"/>
      <c r="IG131" s="149"/>
      <c r="IH131" s="149"/>
      <c r="II131" s="149"/>
      <c r="IJ131" s="149"/>
      <c r="IK131" s="149"/>
      <c r="IL131" s="149"/>
      <c r="IM131" s="149"/>
      <c r="IN131" s="149"/>
      <c r="IO131" s="149"/>
      <c r="IP131" s="149"/>
      <c r="IQ131" s="149"/>
      <c r="IR131" s="149"/>
      <c r="IS131" s="149"/>
      <c r="IT131" s="149"/>
      <c r="IU131" s="149"/>
      <c r="IV131" s="149"/>
      <c r="IW131" s="149"/>
      <c r="IX131" s="149"/>
      <c r="IY131" s="149"/>
      <c r="IZ131" s="149"/>
      <c r="JA131" s="149"/>
      <c r="JB131" s="149"/>
      <c r="JC131" s="149"/>
      <c r="JD131" s="149"/>
      <c r="JE131" s="149"/>
      <c r="JF131" s="149"/>
      <c r="JG131" s="149"/>
      <c r="JH131" s="149"/>
      <c r="JI131" s="149"/>
      <c r="JJ131" s="149"/>
      <c r="JK131" s="149"/>
      <c r="JL131" s="149"/>
      <c r="JM131" s="149"/>
      <c r="JN131" s="149"/>
      <c r="JO131" s="149"/>
      <c r="JP131" s="149"/>
      <c r="JQ131" s="149"/>
      <c r="JR131" s="149"/>
      <c r="JS131" s="149"/>
      <c r="JT131" s="149"/>
      <c r="JU131" s="149"/>
      <c r="JV131" s="149"/>
      <c r="JW131" s="149"/>
      <c r="JX131" s="149"/>
      <c r="JY131" s="149"/>
      <c r="JZ131" s="149"/>
      <c r="KA131" s="149"/>
      <c r="KB131" s="149"/>
      <c r="KC131" s="149"/>
      <c r="KD131" s="149"/>
      <c r="KE131" s="149"/>
      <c r="KF131" s="149"/>
      <c r="KG131" s="149"/>
      <c r="KH131" s="149"/>
      <c r="KI131" s="149"/>
      <c r="KJ131" s="149"/>
      <c r="KK131" s="149"/>
      <c r="KL131" s="149"/>
      <c r="KM131" s="149"/>
      <c r="KN131" s="149"/>
      <c r="KO131" s="149"/>
      <c r="KP131" s="149"/>
      <c r="KQ131" s="149"/>
      <c r="KR131" s="149"/>
      <c r="KS131" s="149"/>
      <c r="KT131" s="149"/>
      <c r="KU131" s="149"/>
      <c r="KV131" s="149"/>
      <c r="KW131" s="149"/>
      <c r="KX131" s="149"/>
      <c r="KY131" s="149"/>
      <c r="KZ131" s="149"/>
      <c r="LA131" s="149"/>
      <c r="LB131" s="149"/>
      <c r="LC131" s="149"/>
      <c r="LD131" s="149"/>
      <c r="LE131" s="149"/>
      <c r="LF131" s="149"/>
      <c r="LG131" s="149"/>
      <c r="LH131" s="149"/>
      <c r="LI131" s="149"/>
      <c r="LJ131" s="149"/>
      <c r="LK131" s="149"/>
      <c r="LL131" s="149"/>
      <c r="LM131" s="149"/>
      <c r="LN131" s="149"/>
      <c r="LO131" s="149"/>
      <c r="LP131" s="149"/>
      <c r="LQ131" s="149"/>
      <c r="LR131" s="149"/>
      <c r="LS131" s="149"/>
      <c r="LT131" s="149"/>
      <c r="LU131" s="149"/>
      <c r="LV131" s="149"/>
      <c r="LW131" s="149"/>
      <c r="LX131" s="149"/>
      <c r="LY131" s="149"/>
      <c r="LZ131" s="149"/>
      <c r="MA131" s="149"/>
      <c r="MB131" s="149"/>
      <c r="MC131" s="149"/>
      <c r="MD131" s="149"/>
      <c r="ME131" s="149"/>
      <c r="MF131" s="149"/>
      <c r="MG131" s="149"/>
      <c r="MH131" s="149"/>
      <c r="MI131" s="149"/>
      <c r="MJ131" s="149"/>
      <c r="MK131" s="149"/>
      <c r="ML131" s="149"/>
      <c r="MM131" s="149"/>
      <c r="MN131" s="149"/>
      <c r="MO131" s="149"/>
      <c r="MP131" s="149"/>
      <c r="MQ131" s="149"/>
      <c r="MR131" s="149"/>
      <c r="MS131" s="149"/>
      <c r="MT131" s="149"/>
      <c r="MU131" s="149"/>
      <c r="MV131" s="149"/>
      <c r="MW131" s="149"/>
      <c r="MX131" s="149"/>
      <c r="MY131" s="149"/>
      <c r="MZ131" s="149"/>
      <c r="NA131" s="149"/>
      <c r="NB131" s="149"/>
      <c r="NC131" s="149"/>
      <c r="ND131" s="149"/>
      <c r="NE131" s="149"/>
      <c r="NF131" s="149"/>
      <c r="NG131" s="149"/>
      <c r="NH131" s="149"/>
      <c r="NI131" s="149"/>
      <c r="NJ131" s="149"/>
      <c r="NK131" s="149"/>
      <c r="NL131" s="149"/>
      <c r="NM131" s="149"/>
      <c r="NN131" s="149"/>
      <c r="NO131" s="149"/>
      <c r="NP131" s="149"/>
      <c r="NQ131" s="149"/>
      <c r="NR131" s="149"/>
      <c r="NS131" s="149"/>
      <c r="NT131" s="149"/>
      <c r="NU131" s="149"/>
      <c r="NV131" s="149"/>
      <c r="NW131" s="149"/>
      <c r="NX131" s="149"/>
      <c r="NY131" s="149"/>
      <c r="NZ131" s="149"/>
      <c r="OA131" s="149"/>
      <c r="OB131" s="149"/>
      <c r="OC131" s="149"/>
      <c r="OD131" s="149"/>
      <c r="OE131" s="149"/>
      <c r="OF131" s="149"/>
      <c r="OG131" s="149"/>
      <c r="OH131" s="149"/>
      <c r="OI131" s="149"/>
      <c r="OJ131" s="149"/>
      <c r="OK131" s="149"/>
      <c r="OL131" s="149"/>
      <c r="OM131" s="149"/>
      <c r="ON131" s="149"/>
      <c r="OO131" s="149"/>
      <c r="OP131" s="149"/>
      <c r="OQ131" s="149"/>
      <c r="OR131" s="149"/>
      <c r="OS131" s="149"/>
      <c r="OT131" s="149"/>
      <c r="OU131" s="149"/>
      <c r="OV131" s="149"/>
      <c r="OW131" s="149"/>
      <c r="OX131" s="149"/>
      <c r="OY131" s="149"/>
      <c r="OZ131" s="149"/>
      <c r="PA131" s="149"/>
      <c r="PB131" s="149"/>
      <c r="PC131" s="149"/>
      <c r="PD131" s="149"/>
      <c r="PE131" s="149"/>
      <c r="PF131" s="149"/>
      <c r="PG131" s="149"/>
      <c r="PH131" s="149"/>
      <c r="PI131" s="149"/>
      <c r="PJ131" s="149"/>
      <c r="PK131" s="149"/>
      <c r="PL131" s="149"/>
      <c r="PM131" s="149"/>
      <c r="PN131" s="149"/>
      <c r="PO131" s="149"/>
      <c r="PP131" s="149"/>
      <c r="PQ131" s="149"/>
      <c r="PR131" s="149"/>
      <c r="PS131" s="149"/>
      <c r="PT131" s="149"/>
      <c r="PU131" s="149"/>
      <c r="PV131" s="149"/>
      <c r="PW131" s="149"/>
      <c r="PX131" s="149"/>
      <c r="PY131" s="149"/>
      <c r="PZ131" s="149"/>
      <c r="QA131" s="149"/>
      <c r="QB131" s="149"/>
      <c r="QC131" s="149"/>
      <c r="QD131" s="149"/>
      <c r="QE131" s="149"/>
      <c r="QF131" s="149"/>
      <c r="QG131" s="149"/>
      <c r="QH131" s="149"/>
      <c r="QI131" s="149"/>
      <c r="QJ131" s="149"/>
      <c r="QK131" s="149"/>
      <c r="QL131" s="149"/>
      <c r="QM131" s="149"/>
      <c r="QN131" s="149"/>
      <c r="QO131" s="149"/>
      <c r="QP131" s="149"/>
      <c r="QQ131" s="149"/>
      <c r="QR131" s="149"/>
      <c r="QS131" s="149"/>
      <c r="QT131" s="149"/>
      <c r="QU131" s="149"/>
      <c r="QV131" s="149"/>
      <c r="QW131" s="149"/>
      <c r="QX131" s="149"/>
      <c r="QY131" s="149"/>
      <c r="QZ131" s="149"/>
      <c r="RA131" s="149"/>
      <c r="RB131" s="149"/>
      <c r="RC131" s="149"/>
      <c r="RD131" s="149"/>
      <c r="RE131" s="149"/>
      <c r="RF131" s="149"/>
      <c r="RG131" s="149"/>
      <c r="RH131" s="149"/>
      <c r="RI131" s="149"/>
      <c r="RJ131" s="149"/>
      <c r="RK131" s="149"/>
      <c r="RL131" s="149"/>
      <c r="RM131" s="149"/>
      <c r="RN131" s="149"/>
      <c r="RO131" s="149"/>
      <c r="RP131" s="149"/>
      <c r="RQ131" s="149"/>
      <c r="RR131" s="149"/>
      <c r="RS131" s="149"/>
      <c r="RT131" s="149"/>
      <c r="RU131" s="149"/>
      <c r="RV131" s="149"/>
      <c r="RW131" s="149"/>
      <c r="RX131" s="149"/>
      <c r="RY131" s="149"/>
      <c r="RZ131" s="149"/>
      <c r="SA131" s="149"/>
      <c r="SB131" s="149"/>
      <c r="SC131" s="149"/>
      <c r="SD131" s="149"/>
      <c r="SE131" s="149"/>
      <c r="SF131" s="149"/>
      <c r="SG131" s="149"/>
      <c r="SH131" s="149"/>
      <c r="SI131" s="149"/>
      <c r="SJ131" s="149"/>
      <c r="SK131" s="149"/>
      <c r="SL131" s="149"/>
      <c r="SM131" s="149"/>
      <c r="SN131" s="149"/>
      <c r="SO131" s="149"/>
      <c r="SP131" s="149"/>
      <c r="SQ131" s="149"/>
      <c r="SR131" s="149"/>
      <c r="SS131" s="149"/>
      <c r="ST131" s="149"/>
      <c r="SU131" s="149"/>
      <c r="SV131" s="149"/>
      <c r="SW131" s="149"/>
      <c r="SX131" s="149"/>
      <c r="SY131" s="149"/>
      <c r="SZ131" s="149"/>
      <c r="TA131" s="149"/>
      <c r="TB131" s="149"/>
      <c r="TC131" s="149"/>
      <c r="TD131" s="149"/>
      <c r="TE131" s="149"/>
      <c r="TF131" s="149"/>
      <c r="TG131" s="149"/>
      <c r="TH131" s="149"/>
      <c r="TI131" s="149"/>
      <c r="TJ131" s="149"/>
      <c r="TK131" s="149"/>
      <c r="TL131" s="149"/>
      <c r="TM131" s="149"/>
      <c r="TN131" s="149"/>
      <c r="TO131" s="149"/>
      <c r="TP131" s="149"/>
      <c r="TQ131" s="149"/>
      <c r="TR131" s="149"/>
      <c r="TS131" s="149"/>
      <c r="TT131" s="149"/>
      <c r="TU131" s="149"/>
      <c r="TV131" s="149"/>
      <c r="TW131" s="149"/>
      <c r="TX131" s="149"/>
      <c r="TY131" s="149"/>
      <c r="TZ131" s="149"/>
      <c r="UA131" s="149"/>
      <c r="UB131" s="149"/>
      <c r="UC131" s="149"/>
      <c r="UD131" s="149"/>
      <c r="UE131" s="149"/>
      <c r="UF131" s="149"/>
      <c r="UG131" s="149"/>
      <c r="UH131" s="149"/>
      <c r="UI131" s="149"/>
      <c r="UJ131" s="149"/>
      <c r="UK131" s="149"/>
      <c r="UL131" s="149"/>
      <c r="UM131" s="149"/>
      <c r="UN131" s="149"/>
      <c r="UO131" s="149"/>
      <c r="UP131" s="149"/>
      <c r="UQ131" s="149"/>
      <c r="UR131" s="149"/>
      <c r="US131" s="149"/>
      <c r="UT131" s="149"/>
      <c r="UU131" s="149"/>
      <c r="UV131" s="149"/>
      <c r="UW131" s="149"/>
      <c r="UX131" s="149"/>
      <c r="UY131" s="149"/>
      <c r="UZ131" s="149"/>
      <c r="VA131" s="149"/>
      <c r="VB131" s="149"/>
      <c r="VC131" s="149"/>
      <c r="VD131" s="149"/>
      <c r="VE131" s="149"/>
      <c r="VF131" s="149"/>
      <c r="VG131" s="149"/>
      <c r="VH131" s="149"/>
      <c r="VI131" s="149"/>
      <c r="VJ131" s="149"/>
      <c r="VK131" s="149"/>
      <c r="VL131" s="149"/>
      <c r="VM131" s="149"/>
      <c r="VN131" s="149"/>
      <c r="VO131" s="149"/>
      <c r="VP131" s="149"/>
      <c r="VQ131" s="149"/>
      <c r="VR131" s="149"/>
      <c r="VS131" s="149"/>
      <c r="VT131" s="149"/>
      <c r="VU131" s="149"/>
      <c r="VV131" s="149"/>
      <c r="VW131" s="149"/>
      <c r="VX131" s="149"/>
      <c r="VY131" s="149"/>
      <c r="VZ131" s="149"/>
      <c r="WA131" s="149"/>
      <c r="WB131" s="149"/>
      <c r="WC131" s="149"/>
      <c r="WD131" s="149"/>
      <c r="WE131" s="149"/>
      <c r="WF131" s="149"/>
      <c r="WG131" s="149"/>
      <c r="WH131" s="149"/>
      <c r="WI131" s="149"/>
      <c r="WJ131" s="149"/>
      <c r="WK131" s="149"/>
      <c r="WL131" s="149"/>
      <c r="WM131" s="149"/>
      <c r="WN131" s="149"/>
      <c r="WO131" s="149"/>
      <c r="WP131" s="149"/>
      <c r="WQ131" s="149"/>
      <c r="WR131" s="149"/>
      <c r="WS131" s="149"/>
      <c r="WT131" s="149"/>
      <c r="WU131" s="149"/>
      <c r="WV131" s="149"/>
      <c r="WW131" s="149"/>
      <c r="WX131" s="149"/>
      <c r="WY131" s="149"/>
      <c r="WZ131" s="149"/>
      <c r="XA131" s="149"/>
      <c r="XB131" s="149"/>
      <c r="XC131" s="149"/>
      <c r="XD131" s="149"/>
      <c r="XE131" s="149"/>
      <c r="XF131" s="149"/>
      <c r="XG131" s="149"/>
      <c r="XH131" s="149"/>
      <c r="XI131" s="149"/>
      <c r="XJ131" s="149"/>
      <c r="XK131" s="149"/>
      <c r="XL131" s="149"/>
      <c r="XM131" s="149"/>
      <c r="XN131" s="149"/>
      <c r="XO131" s="149"/>
      <c r="XP131" s="149"/>
      <c r="XQ131" s="149"/>
      <c r="XR131" s="149"/>
      <c r="XS131" s="149"/>
      <c r="XT131" s="149"/>
      <c r="XU131" s="149"/>
      <c r="XV131" s="149"/>
      <c r="XW131" s="149"/>
      <c r="XX131" s="149"/>
      <c r="XY131" s="149"/>
      <c r="XZ131" s="149"/>
      <c r="YA131" s="149"/>
      <c r="YB131" s="149"/>
      <c r="YC131" s="149"/>
      <c r="YD131" s="149"/>
      <c r="YE131" s="149"/>
      <c r="YF131" s="149"/>
      <c r="YG131" s="149"/>
      <c r="YH131" s="149"/>
      <c r="YI131" s="149"/>
      <c r="YJ131" s="149"/>
      <c r="YK131" s="149"/>
      <c r="YL131" s="149"/>
      <c r="YM131" s="149"/>
      <c r="YN131" s="149"/>
      <c r="YO131" s="149"/>
      <c r="YP131" s="149"/>
      <c r="YQ131" s="149"/>
      <c r="YR131" s="149"/>
      <c r="YS131" s="149"/>
      <c r="YT131" s="149"/>
      <c r="YU131" s="149"/>
      <c r="YV131" s="149"/>
      <c r="YW131" s="149"/>
      <c r="YX131" s="149"/>
      <c r="YY131" s="149"/>
      <c r="YZ131" s="149"/>
      <c r="ZA131" s="149"/>
      <c r="ZB131" s="149"/>
      <c r="ZC131" s="149"/>
      <c r="ZD131" s="149"/>
      <c r="ZE131" s="149"/>
      <c r="ZF131" s="149"/>
      <c r="ZG131" s="149"/>
      <c r="ZH131" s="149"/>
      <c r="ZI131" s="149"/>
      <c r="ZJ131" s="149"/>
      <c r="ZK131" s="149"/>
      <c r="ZL131" s="149"/>
      <c r="ZM131" s="149"/>
      <c r="ZN131" s="149"/>
      <c r="ZO131" s="149"/>
      <c r="ZP131" s="149"/>
      <c r="ZQ131" s="149"/>
      <c r="ZR131" s="149"/>
      <c r="ZS131" s="149"/>
      <c r="ZT131" s="149"/>
      <c r="ZU131" s="149"/>
      <c r="ZV131" s="149"/>
      <c r="ZW131" s="149"/>
      <c r="ZX131" s="149"/>
      <c r="ZY131" s="149"/>
      <c r="ZZ131" s="149"/>
      <c r="AAA131" s="149"/>
      <c r="AAB131" s="149"/>
      <c r="AAC131" s="149"/>
      <c r="AAD131" s="149"/>
      <c r="AAE131" s="149"/>
      <c r="AAF131" s="149"/>
      <c r="AAG131" s="149"/>
      <c r="AAH131" s="149"/>
      <c r="AAI131" s="149"/>
      <c r="AAJ131" s="149"/>
      <c r="AAK131" s="149"/>
      <c r="AAL131" s="149"/>
      <c r="AAM131" s="149"/>
      <c r="AAN131" s="149"/>
      <c r="AAO131" s="149"/>
      <c r="AAP131" s="149"/>
      <c r="AAQ131" s="149"/>
      <c r="AAR131" s="149"/>
      <c r="AAS131" s="149"/>
      <c r="AAT131" s="149"/>
      <c r="AAU131" s="149"/>
      <c r="AAV131" s="149"/>
      <c r="AAW131" s="149"/>
      <c r="AAX131" s="149"/>
      <c r="AAY131" s="149"/>
      <c r="AAZ131" s="149"/>
      <c r="ABA131" s="149"/>
      <c r="ABB131" s="149"/>
      <c r="ABC131" s="149"/>
      <c r="ABD131" s="149"/>
      <c r="ABE131" s="149"/>
      <c r="ABF131" s="149"/>
      <c r="ABG131" s="149"/>
      <c r="ABH131" s="149"/>
      <c r="ABI131" s="149"/>
      <c r="ABJ131" s="149"/>
      <c r="ABK131" s="149"/>
      <c r="ABL131" s="149"/>
      <c r="ABM131" s="149"/>
      <c r="ABN131" s="149"/>
      <c r="ABO131" s="149"/>
      <c r="ABP131" s="149"/>
      <c r="ABQ131" s="149"/>
      <c r="ABR131" s="149"/>
      <c r="ABS131" s="149"/>
      <c r="ABT131" s="149"/>
      <c r="ABU131" s="149"/>
      <c r="ABV131" s="149"/>
      <c r="ABW131" s="149"/>
      <c r="ABX131" s="149"/>
      <c r="ABY131" s="149"/>
      <c r="ABZ131" s="149"/>
      <c r="ACA131" s="149"/>
      <c r="ACB131" s="149"/>
      <c r="ACC131" s="149"/>
      <c r="ACD131" s="149"/>
      <c r="ACE131" s="149"/>
      <c r="ACF131" s="149"/>
      <c r="ACG131" s="149"/>
      <c r="ACH131" s="149"/>
      <c r="ACI131" s="149"/>
      <c r="ACJ131" s="149"/>
      <c r="ACK131" s="149"/>
      <c r="ACL131" s="149"/>
      <c r="ACM131" s="149"/>
      <c r="ACN131" s="149"/>
      <c r="ACO131" s="149"/>
      <c r="ACP131" s="149"/>
      <c r="ACQ131" s="149"/>
      <c r="ACR131" s="149"/>
      <c r="ACS131" s="149"/>
      <c r="ACT131" s="149"/>
      <c r="ACU131" s="149"/>
      <c r="ACV131" s="149"/>
      <c r="ACW131" s="149"/>
      <c r="ACX131" s="149"/>
      <c r="ACY131" s="149"/>
      <c r="ACZ131" s="149"/>
      <c r="ADA131" s="149"/>
      <c r="ADB131" s="149"/>
      <c r="ADC131" s="149"/>
      <c r="ADD131" s="149"/>
      <c r="ADE131" s="149"/>
      <c r="ADF131" s="149"/>
      <c r="ADG131" s="149"/>
      <c r="ADH131" s="149"/>
      <c r="ADI131" s="149"/>
      <c r="ADJ131" s="149"/>
      <c r="ADK131" s="149"/>
      <c r="ADL131" s="149"/>
      <c r="ADM131" s="149"/>
      <c r="ADN131" s="149"/>
      <c r="ADO131" s="149"/>
      <c r="ADP131" s="149"/>
      <c r="ADQ131" s="149"/>
      <c r="ADR131" s="149"/>
      <c r="ADS131" s="149"/>
      <c r="ADT131" s="149"/>
      <c r="ADU131" s="149"/>
      <c r="ADV131" s="149"/>
      <c r="ADW131" s="149"/>
      <c r="ADX131" s="149"/>
      <c r="ADY131" s="149"/>
      <c r="ADZ131" s="149"/>
      <c r="AEA131" s="149"/>
      <c r="AEB131" s="149"/>
      <c r="AEC131" s="149"/>
      <c r="AED131" s="149"/>
      <c r="AEE131" s="149"/>
      <c r="AEF131" s="149"/>
      <c r="AEG131" s="149"/>
      <c r="AEH131" s="149"/>
      <c r="AEI131" s="149"/>
      <c r="AEJ131" s="149"/>
      <c r="AEK131" s="149"/>
      <c r="AEL131" s="149"/>
      <c r="AEM131" s="149"/>
      <c r="AEN131" s="149"/>
      <c r="AEO131" s="149"/>
      <c r="AEP131" s="149"/>
      <c r="AEQ131" s="149"/>
      <c r="AER131" s="149"/>
      <c r="AES131" s="149"/>
      <c r="AET131" s="149"/>
      <c r="AEU131" s="149"/>
      <c r="AEV131" s="149"/>
      <c r="AEW131" s="149"/>
      <c r="AEX131" s="149"/>
      <c r="AEY131" s="149"/>
      <c r="AEZ131" s="149"/>
      <c r="AFA131" s="149"/>
      <c r="AFB131" s="149"/>
      <c r="AFC131" s="149"/>
      <c r="AFD131" s="149"/>
      <c r="AFE131" s="149"/>
      <c r="AFF131" s="149"/>
      <c r="AFG131" s="149"/>
      <c r="AFH131" s="149"/>
      <c r="AFI131" s="149"/>
      <c r="AFJ131" s="149"/>
      <c r="AFK131" s="149"/>
      <c r="AFL131" s="149"/>
      <c r="AFM131" s="149"/>
      <c r="AFN131" s="149"/>
      <c r="AFO131" s="149"/>
      <c r="AFP131" s="149"/>
      <c r="AFQ131" s="149"/>
      <c r="AFR131" s="149"/>
      <c r="AFS131" s="149"/>
      <c r="AFT131" s="149"/>
      <c r="AFU131" s="149"/>
      <c r="AFV131" s="149"/>
      <c r="AFW131" s="149"/>
      <c r="AFX131" s="149"/>
      <c r="AFY131" s="149"/>
      <c r="AFZ131" s="149"/>
      <c r="AGA131" s="149"/>
      <c r="AGB131" s="149"/>
      <c r="AGC131" s="149"/>
      <c r="AGD131" s="149"/>
      <c r="AGE131" s="149"/>
      <c r="AGF131" s="149"/>
      <c r="AGG131" s="149"/>
      <c r="AGH131" s="149"/>
      <c r="AGI131" s="149"/>
      <c r="AGJ131" s="149"/>
      <c r="AGK131" s="149"/>
      <c r="AGL131" s="149"/>
      <c r="AGM131" s="149"/>
      <c r="AGN131" s="149"/>
      <c r="AGO131" s="149"/>
      <c r="AGP131" s="149"/>
      <c r="AGQ131" s="149"/>
      <c r="AGR131" s="149"/>
      <c r="AGS131" s="149"/>
      <c r="AGT131" s="149"/>
      <c r="AGU131" s="149"/>
      <c r="AGV131" s="149"/>
      <c r="AGW131" s="149"/>
      <c r="AGX131" s="149"/>
      <c r="AGY131" s="149"/>
      <c r="AGZ131" s="149"/>
      <c r="AHA131" s="149"/>
      <c r="AHB131" s="149"/>
      <c r="AHC131" s="149"/>
      <c r="AHD131" s="149"/>
      <c r="AHE131" s="149"/>
      <c r="AHF131" s="149"/>
      <c r="AHG131" s="149"/>
      <c r="AHH131" s="149"/>
      <c r="AHI131" s="149"/>
      <c r="AHJ131" s="149"/>
      <c r="AHK131" s="149"/>
      <c r="AHL131" s="149"/>
      <c r="AHM131" s="149"/>
      <c r="AHN131" s="149"/>
      <c r="AHO131" s="149"/>
      <c r="AHP131" s="149"/>
      <c r="AHQ131" s="149"/>
      <c r="AHR131" s="149"/>
      <c r="AHS131" s="149"/>
      <c r="AHT131" s="149"/>
      <c r="AHU131" s="149"/>
      <c r="AHV131" s="149"/>
      <c r="AHW131" s="149"/>
      <c r="AHX131" s="149"/>
      <c r="AHY131" s="149"/>
      <c r="AHZ131" s="149"/>
      <c r="AIA131" s="149"/>
      <c r="AIB131" s="149"/>
      <c r="AIC131" s="149"/>
      <c r="AID131" s="149"/>
      <c r="AIE131" s="149"/>
      <c r="AIF131" s="149"/>
      <c r="AIG131" s="149"/>
      <c r="AIH131" s="149"/>
      <c r="AII131" s="149"/>
      <c r="AIJ131" s="149"/>
      <c r="AIK131" s="149"/>
      <c r="AIL131" s="149"/>
      <c r="AIM131" s="149"/>
      <c r="AIN131" s="149"/>
      <c r="AIO131" s="149"/>
      <c r="AIP131" s="149"/>
      <c r="AIQ131" s="149"/>
      <c r="AIR131" s="149"/>
      <c r="AIS131" s="149"/>
      <c r="AIT131" s="149"/>
      <c r="AIU131" s="149"/>
      <c r="AIV131" s="149"/>
      <c r="AIW131" s="149"/>
      <c r="AIX131" s="149"/>
      <c r="AIY131" s="149"/>
      <c r="AIZ131" s="149"/>
      <c r="AJA131" s="149"/>
      <c r="AJB131" s="149"/>
      <c r="AJC131" s="149"/>
      <c r="AJD131" s="149"/>
      <c r="AJE131" s="149"/>
      <c r="AJF131" s="149"/>
      <c r="AJG131" s="149"/>
      <c r="AJH131" s="149"/>
      <c r="AJI131" s="149"/>
      <c r="AJJ131" s="149"/>
      <c r="AJK131" s="149"/>
      <c r="AJL131" s="149"/>
      <c r="AJM131" s="149"/>
      <c r="AJN131" s="149"/>
      <c r="AJO131" s="149"/>
      <c r="AJP131" s="149"/>
      <c r="AJQ131" s="149"/>
      <c r="AJR131" s="149"/>
      <c r="AJS131" s="149"/>
      <c r="AJT131" s="149"/>
      <c r="AJU131" s="149"/>
      <c r="AJV131" s="149"/>
      <c r="AJW131" s="149"/>
      <c r="AJX131" s="149"/>
      <c r="AJY131" s="149"/>
      <c r="AJZ131" s="149"/>
      <c r="AKA131" s="149"/>
      <c r="AKB131" s="149"/>
      <c r="AKC131" s="149"/>
      <c r="AKD131" s="149"/>
      <c r="AKE131" s="149"/>
      <c r="AKF131" s="149"/>
      <c r="AKG131" s="149"/>
      <c r="AKH131" s="149"/>
      <c r="AKI131" s="149"/>
      <c r="AKJ131" s="149"/>
      <c r="AKK131" s="149"/>
      <c r="AKL131" s="149"/>
      <c r="AKM131" s="149"/>
      <c r="AKN131" s="149"/>
      <c r="AKO131" s="149"/>
      <c r="AKP131" s="149"/>
      <c r="AKQ131" s="149"/>
      <c r="AKR131" s="149"/>
      <c r="AKS131" s="149"/>
      <c r="AKT131" s="149"/>
      <c r="AKU131" s="149"/>
      <c r="AKV131" s="149"/>
      <c r="AKW131" s="149"/>
      <c r="AKX131" s="149"/>
      <c r="AKY131" s="149"/>
      <c r="AKZ131" s="149"/>
      <c r="ALA131" s="149"/>
      <c r="ALB131" s="149"/>
      <c r="ALC131" s="149"/>
      <c r="ALD131" s="149"/>
      <c r="ALE131" s="149"/>
      <c r="ALF131" s="149"/>
      <c r="ALG131" s="149"/>
      <c r="ALH131" s="149"/>
      <c r="ALI131" s="149"/>
      <c r="ALJ131" s="149"/>
      <c r="ALK131" s="149"/>
      <c r="ALL131" s="149"/>
      <c r="ALM131" s="149"/>
      <c r="ALN131" s="149"/>
      <c r="ALO131" s="149"/>
      <c r="ALP131" s="149"/>
      <c r="ALQ131" s="149"/>
      <c r="ALR131" s="149"/>
      <c r="ALS131" s="149"/>
      <c r="ALT131" s="149"/>
      <c r="ALU131" s="149"/>
      <c r="ALV131" s="149"/>
      <c r="ALW131" s="149"/>
      <c r="ALX131" s="149"/>
      <c r="ALY131" s="149"/>
      <c r="ALZ131" s="149"/>
      <c r="AMA131" s="149"/>
      <c r="AMB131" s="149"/>
      <c r="AMC131" s="149"/>
      <c r="AMD131" s="149"/>
    </row>
    <row r="132" spans="1:1018"/>
    <row r="133" spans="1:1018"/>
    <row r="134" spans="1:1018"/>
    <row r="135" spans="1:1018"/>
    <row r="136" spans="1:1018"/>
    <row r="137" spans="1:1018"/>
    <row r="138" spans="1:1018"/>
    <row r="139" spans="1:1018"/>
    <row r="140" spans="1:1018"/>
    <row r="141" spans="1:1018"/>
  </sheetData>
  <sheetProtection password="CF7A" sheet="1" insertRows="0"/>
  <customSheetViews>
    <customSheetView guid="{5E113600-004F-4409-A088-DFECFF9BC96A}" showGridLines="0" hiddenRows="1" hiddenColumns="1">
      <pane xSplit="9" ySplit="5" topLeftCell="J73" activePane="bottomRight" state="frozen"/>
      <selection pane="bottomRight" activeCell="AN73" sqref="AN73"/>
      <pageMargins left="0.7" right="0.7" top="0.75" bottom="0.75" header="0.51180555555555496" footer="0.51180555555555496"/>
      <pageSetup paperSize="9" firstPageNumber="0" orientation="portrait" horizontalDpi="300" verticalDpi="300" r:id="rId1"/>
    </customSheetView>
    <customSheetView guid="{1F97382E-80B0-473D-874E-BD5E60D01A4B}" showGridLines="0" hiddenRows="1" hiddenColumns="1">
      <pane xSplit="9" ySplit="5" topLeftCell="J73" activePane="bottomRight" state="frozen"/>
      <selection pane="bottomRight" activeCell="AN73" sqref="AN73"/>
      <pageMargins left="0.7" right="0.7" top="0.75" bottom="0.75" header="0.51180555555555496" footer="0.51180555555555496"/>
      <pageSetup paperSize="9" firstPageNumber="0" orientation="portrait" horizontalDpi="300" verticalDpi="300" r:id="rId2"/>
    </customSheetView>
    <customSheetView guid="{7663FDEA-AE2F-416B-8123-1D493B6639C0}" showGridLines="0" hiddenRows="1" hiddenColumns="1">
      <pane xSplit="9" ySplit="5" topLeftCell="J73" activePane="bottomRight" state="frozen"/>
      <selection pane="bottomRight" activeCell="AN73" sqref="AN73"/>
      <pageMargins left="0.7" right="0.7" top="0.75" bottom="0.75" header="0.51180555555555496" footer="0.51180555555555496"/>
      <pageSetup paperSize="9" firstPageNumber="0" orientation="portrait" horizontalDpi="300" verticalDpi="300" r:id="rId3"/>
    </customSheetView>
    <customSheetView guid="{C287C8AD-6E2E-4D5F-930B-C18EF9030790}" showGridLines="0" hiddenRows="1" hiddenColumns="1">
      <pane xSplit="9" ySplit="5" topLeftCell="J73" activePane="bottomRight" state="frozen"/>
      <selection pane="bottomRight" activeCell="AN73" sqref="AN73"/>
      <pageMargins left="0.7" right="0.7" top="0.75" bottom="0.75" header="0.51180555555555496" footer="0.51180555555555496"/>
      <pageSetup paperSize="9" firstPageNumber="0" orientation="portrait" horizontalDpi="300" verticalDpi="300" r:id="rId4"/>
    </customSheetView>
  </customSheetViews>
  <mergeCells count="1">
    <mergeCell ref="B2:U2"/>
  </mergeCells>
  <conditionalFormatting sqref="B4:H4 J4:AN4">
    <cfRule type="containsText" dxfId="1314" priority="22" operator="containsText" text="sat"/>
    <cfRule type="containsText" dxfId="1313" priority="23" operator="containsText" text="sun"/>
  </conditionalFormatting>
  <conditionalFormatting sqref="C121:C122">
    <cfRule type="duplicateValues" priority="6"/>
    <cfRule type="duplicateValues" priority="7"/>
    <cfRule type="duplicateValues" priority="8"/>
    <cfRule type="duplicateValues" priority="9"/>
  </conditionalFormatting>
  <conditionalFormatting sqref="C6:D7">
    <cfRule type="duplicateValues" priority="14"/>
    <cfRule type="duplicateValues" priority="15"/>
    <cfRule type="duplicateValues" priority="16"/>
    <cfRule type="duplicateValues" priority="17"/>
  </conditionalFormatting>
  <conditionalFormatting sqref="C8:D8">
    <cfRule type="duplicateValues" priority="18"/>
    <cfRule type="duplicateValues" priority="19"/>
    <cfRule type="duplicateValues" priority="20"/>
    <cfRule type="duplicateValues" priority="21"/>
  </conditionalFormatting>
  <conditionalFormatting sqref="C10:D10">
    <cfRule type="duplicateValues" priority="10"/>
    <cfRule type="duplicateValues" priority="11"/>
    <cfRule type="duplicateValues" priority="12"/>
    <cfRule type="duplicateValues" priority="13"/>
  </conditionalFormatting>
  <conditionalFormatting sqref="C123:D123 C9:D9 C11:D120 D121:D122">
    <cfRule type="duplicateValues" priority="24"/>
    <cfRule type="duplicateValues" priority="25"/>
    <cfRule type="duplicateValues" priority="26"/>
    <cfRule type="duplicateValues" priority="27"/>
  </conditionalFormatting>
  <conditionalFormatting sqref="AO1:AS122 AV1:AV122 I1:I1048576 AO124:AS1048576 AV124:AV1048576">
    <cfRule type="cellIs" dxfId="1312" priority="3" operator="lessThan">
      <formula>0</formula>
    </cfRule>
  </conditionalFormatting>
  <conditionalFormatting sqref="AO123:AW123">
    <cfRule type="cellIs" dxfId="1311" priority="1" operator="lessThan">
      <formula>0</formula>
    </cfRule>
  </conditionalFormatting>
  <conditionalFormatting sqref="AW5">
    <cfRule type="cellIs" dxfId="1310" priority="4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  <legacyDrawing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ME135"/>
  <sheetViews>
    <sheetView showGridLines="0" zoomScaleNormal="100" workbookViewId="0">
      <pane xSplit="10" ySplit="5" topLeftCell="K22" activePane="bottomRight" state="frozen"/>
      <selection pane="topRight" activeCell="J1" sqref="J1"/>
      <selection pane="bottomLeft" activeCell="A5" sqref="A5"/>
      <selection pane="bottomRight" activeCell="F47" sqref="F47"/>
    </sheetView>
  </sheetViews>
  <sheetFormatPr defaultColWidth="0" defaultRowHeight="15" zeroHeight="1"/>
  <cols>
    <col min="1" max="1" width="1.140625" style="178" customWidth="1"/>
    <col min="2" max="2" width="6.140625" style="149" bestFit="1" customWidth="1"/>
    <col min="3" max="3" width="13.140625" style="149" bestFit="1" customWidth="1"/>
    <col min="4" max="4" width="32.5703125" style="150" bestFit="1" customWidth="1"/>
    <col min="5" max="5" width="11" style="150" bestFit="1" customWidth="1"/>
    <col min="6" max="6" width="12.140625" style="150" bestFit="1" customWidth="1"/>
    <col min="7" max="7" width="8.140625" style="151" bestFit="1" customWidth="1"/>
    <col min="8" max="8" width="7.5703125" style="152" bestFit="1" customWidth="1"/>
    <col min="9" max="9" width="5.7109375" style="151" bestFit="1" customWidth="1"/>
    <col min="10" max="10" width="5.85546875" style="149" bestFit="1" customWidth="1"/>
    <col min="11" max="37" width="3.28515625" style="149" bestFit="1" customWidth="1"/>
    <col min="38" max="38" width="3.28515625" style="153" bestFit="1" customWidth="1"/>
    <col min="39" max="39" width="3.28515625" style="149" bestFit="1" customWidth="1"/>
    <col min="40" max="40" width="3.28515625" style="149" customWidth="1"/>
    <col min="41" max="41" width="3.28515625" style="149" bestFit="1" customWidth="1"/>
    <col min="42" max="42" width="5.5703125" style="149" bestFit="1" customWidth="1"/>
    <col min="43" max="43" width="6.42578125" style="151" bestFit="1" customWidth="1"/>
    <col min="44" max="46" width="7.42578125" style="149" bestFit="1" customWidth="1"/>
    <col min="47" max="47" width="4.85546875" style="149" bestFit="1" customWidth="1"/>
    <col min="48" max="48" width="4.7109375" style="149" bestFit="1" customWidth="1"/>
    <col min="49" max="49" width="8.140625" style="149" bestFit="1" customWidth="1"/>
    <col min="50" max="50" width="12.7109375" style="149" customWidth="1"/>
    <col min="51" max="51" width="9.140625" style="149" hidden="1" customWidth="1"/>
    <col min="52" max="1019" width="0" style="149" hidden="1" customWidth="1"/>
    <col min="1020" max="16384" width="9.140625" style="178" hidden="1"/>
  </cols>
  <sheetData>
    <row r="1" spans="2:50" ht="7.5" customHeight="1" thickBot="1"/>
    <row r="2" spans="2:50" ht="23.25" thickBot="1">
      <c r="B2" s="355" t="str">
        <f>Summary!R5&amp;" House Keeping Material Consumption of "&amp; TEXT(Summary!R4," MMM YY")</f>
        <v>SOC House Keeping Material Consumption of  Feb 26</v>
      </c>
      <c r="C2" s="356"/>
      <c r="D2" s="356"/>
      <c r="E2" s="356"/>
      <c r="F2" s="356"/>
      <c r="G2" s="356"/>
      <c r="H2" s="356"/>
      <c r="I2" s="356"/>
      <c r="J2" s="356"/>
      <c r="K2" s="356"/>
      <c r="L2" s="356"/>
      <c r="M2" s="356"/>
      <c r="N2" s="356"/>
      <c r="O2" s="356"/>
      <c r="P2" s="356"/>
      <c r="Q2" s="356"/>
      <c r="R2" s="356"/>
      <c r="S2" s="356"/>
      <c r="T2" s="356"/>
      <c r="U2" s="356"/>
      <c r="V2" s="357"/>
      <c r="W2" s="154"/>
      <c r="X2" s="154"/>
      <c r="Y2" s="154"/>
      <c r="Z2" s="154"/>
      <c r="AA2" s="154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6"/>
      <c r="AM2" s="155"/>
      <c r="AN2" s="155"/>
      <c r="AO2" s="155"/>
      <c r="AP2" s="157"/>
      <c r="AQ2" s="154"/>
      <c r="AR2" s="154"/>
    </row>
    <row r="3" spans="2:50">
      <c r="B3" s="154"/>
      <c r="C3" s="154"/>
      <c r="D3" s="158"/>
      <c r="E3" s="158"/>
      <c r="F3" s="158"/>
      <c r="G3" s="158"/>
      <c r="H3" s="159"/>
      <c r="I3" s="160"/>
      <c r="J3" s="154"/>
      <c r="K3" s="154"/>
      <c r="L3" s="154"/>
      <c r="M3" s="154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61"/>
      <c r="AM3" s="154"/>
      <c r="AN3" s="154"/>
      <c r="AO3" s="154"/>
      <c r="AP3" s="154"/>
      <c r="AQ3" s="154"/>
      <c r="AR3" s="154"/>
    </row>
    <row r="4" spans="2:50" ht="24.75">
      <c r="B4" s="162"/>
      <c r="C4" s="162"/>
      <c r="D4" s="163"/>
      <c r="E4" s="163"/>
      <c r="F4" s="163"/>
      <c r="G4" s="163"/>
      <c r="H4" s="164"/>
      <c r="I4" s="165"/>
      <c r="J4" s="166" t="s">
        <v>258</v>
      </c>
      <c r="K4" s="167" t="str">
        <f>TEXT(K5,"ddd")</f>
        <v>Sun</v>
      </c>
      <c r="L4" s="167" t="str">
        <f t="shared" ref="L4:AD4" si="0">TEXT(L5,"ddd")</f>
        <v>Mon</v>
      </c>
      <c r="M4" s="167" t="str">
        <f t="shared" si="0"/>
        <v>Tue</v>
      </c>
      <c r="N4" s="167" t="str">
        <f t="shared" si="0"/>
        <v>Wed</v>
      </c>
      <c r="O4" s="167" t="str">
        <f t="shared" si="0"/>
        <v>Thu</v>
      </c>
      <c r="P4" s="167" t="str">
        <f t="shared" si="0"/>
        <v>Fri</v>
      </c>
      <c r="Q4" s="167" t="str">
        <f t="shared" si="0"/>
        <v>Sat</v>
      </c>
      <c r="R4" s="167" t="str">
        <f t="shared" si="0"/>
        <v>Sun</v>
      </c>
      <c r="S4" s="167" t="str">
        <f t="shared" si="0"/>
        <v>Mon</v>
      </c>
      <c r="T4" s="167" t="str">
        <f t="shared" si="0"/>
        <v>Tue</v>
      </c>
      <c r="U4" s="167" t="str">
        <f t="shared" si="0"/>
        <v>Wed</v>
      </c>
      <c r="V4" s="167" t="str">
        <f t="shared" si="0"/>
        <v>Thu</v>
      </c>
      <c r="W4" s="167" t="str">
        <f t="shared" si="0"/>
        <v>Fri</v>
      </c>
      <c r="X4" s="167" t="str">
        <f t="shared" si="0"/>
        <v>Sat</v>
      </c>
      <c r="Y4" s="167" t="str">
        <f t="shared" si="0"/>
        <v>Sun</v>
      </c>
      <c r="Z4" s="167" t="str">
        <f t="shared" si="0"/>
        <v>Mon</v>
      </c>
      <c r="AA4" s="167" t="str">
        <f t="shared" si="0"/>
        <v>Tue</v>
      </c>
      <c r="AB4" s="167" t="str">
        <f t="shared" si="0"/>
        <v>Wed</v>
      </c>
      <c r="AC4" s="167" t="str">
        <f t="shared" si="0"/>
        <v>Thu</v>
      </c>
      <c r="AD4" s="167" t="str">
        <f t="shared" si="0"/>
        <v>Fri</v>
      </c>
      <c r="AE4" s="167" t="str">
        <f>TEXT(AE5,"ddd")</f>
        <v>Sat</v>
      </c>
      <c r="AF4" s="167" t="str">
        <f t="shared" ref="AF4:AO4" si="1">TEXT(AF5,"ddd")</f>
        <v>Sun</v>
      </c>
      <c r="AG4" s="167" t="str">
        <f t="shared" si="1"/>
        <v>Mon</v>
      </c>
      <c r="AH4" s="167" t="str">
        <f t="shared" si="1"/>
        <v>Tue</v>
      </c>
      <c r="AI4" s="167" t="str">
        <f t="shared" si="1"/>
        <v>Wed</v>
      </c>
      <c r="AJ4" s="167" t="str">
        <f t="shared" si="1"/>
        <v>Thu</v>
      </c>
      <c r="AK4" s="167" t="str">
        <f t="shared" si="1"/>
        <v>Fri</v>
      </c>
      <c r="AL4" s="167" t="str">
        <f t="shared" si="1"/>
        <v>Sat</v>
      </c>
      <c r="AM4" s="167" t="str">
        <f t="shared" si="1"/>
        <v>Sun</v>
      </c>
      <c r="AN4" s="167" t="str">
        <f t="shared" si="1"/>
        <v>Mon</v>
      </c>
      <c r="AO4" s="167" t="str">
        <f t="shared" si="1"/>
        <v>Tue</v>
      </c>
      <c r="AP4" s="166" t="s">
        <v>258</v>
      </c>
      <c r="AQ4" s="166" t="s">
        <v>258</v>
      </c>
      <c r="AR4" s="166" t="s">
        <v>258</v>
      </c>
      <c r="AS4" s="166" t="s">
        <v>258</v>
      </c>
      <c r="AT4" s="166" t="s">
        <v>258</v>
      </c>
      <c r="AW4" s="166" t="s">
        <v>258</v>
      </c>
    </row>
    <row r="5" spans="2:50" ht="39" customHeight="1">
      <c r="B5" s="168" t="s">
        <v>6</v>
      </c>
      <c r="C5" s="168" t="s">
        <v>224</v>
      </c>
      <c r="D5" s="169" t="s">
        <v>7</v>
      </c>
      <c r="E5" s="169" t="s">
        <v>225</v>
      </c>
      <c r="F5" s="169" t="s">
        <v>8</v>
      </c>
      <c r="G5" s="169" t="s">
        <v>1</v>
      </c>
      <c r="H5" s="170" t="s">
        <v>51</v>
      </c>
      <c r="I5" s="89" t="s">
        <v>50</v>
      </c>
      <c r="J5" s="92" t="s">
        <v>9</v>
      </c>
      <c r="K5" s="172">
        <f>Summary!R4</f>
        <v>46054</v>
      </c>
      <c r="L5" s="172">
        <f>K5+1</f>
        <v>46055</v>
      </c>
      <c r="M5" s="172">
        <f t="shared" ref="M5:AO5" si="2">L5+1</f>
        <v>46056</v>
      </c>
      <c r="N5" s="172">
        <f t="shared" si="2"/>
        <v>46057</v>
      </c>
      <c r="O5" s="172">
        <f t="shared" si="2"/>
        <v>46058</v>
      </c>
      <c r="P5" s="172">
        <f t="shared" si="2"/>
        <v>46059</v>
      </c>
      <c r="Q5" s="172">
        <f t="shared" si="2"/>
        <v>46060</v>
      </c>
      <c r="R5" s="172">
        <f t="shared" si="2"/>
        <v>46061</v>
      </c>
      <c r="S5" s="172">
        <f t="shared" si="2"/>
        <v>46062</v>
      </c>
      <c r="T5" s="172">
        <f t="shared" si="2"/>
        <v>46063</v>
      </c>
      <c r="U5" s="172">
        <f t="shared" si="2"/>
        <v>46064</v>
      </c>
      <c r="V5" s="172">
        <f t="shared" si="2"/>
        <v>46065</v>
      </c>
      <c r="W5" s="172">
        <f t="shared" si="2"/>
        <v>46066</v>
      </c>
      <c r="X5" s="172">
        <f t="shared" si="2"/>
        <v>46067</v>
      </c>
      <c r="Y5" s="172">
        <f t="shared" si="2"/>
        <v>46068</v>
      </c>
      <c r="Z5" s="172">
        <f t="shared" si="2"/>
        <v>46069</v>
      </c>
      <c r="AA5" s="172">
        <f t="shared" si="2"/>
        <v>46070</v>
      </c>
      <c r="AB5" s="172">
        <f t="shared" si="2"/>
        <v>46071</v>
      </c>
      <c r="AC5" s="172">
        <f t="shared" si="2"/>
        <v>46072</v>
      </c>
      <c r="AD5" s="172">
        <f t="shared" si="2"/>
        <v>46073</v>
      </c>
      <c r="AE5" s="172">
        <f t="shared" si="2"/>
        <v>46074</v>
      </c>
      <c r="AF5" s="172">
        <f t="shared" si="2"/>
        <v>46075</v>
      </c>
      <c r="AG5" s="172">
        <f t="shared" si="2"/>
        <v>46076</v>
      </c>
      <c r="AH5" s="172">
        <f t="shared" si="2"/>
        <v>46077</v>
      </c>
      <c r="AI5" s="172">
        <f t="shared" si="2"/>
        <v>46078</v>
      </c>
      <c r="AJ5" s="172">
        <f t="shared" si="2"/>
        <v>46079</v>
      </c>
      <c r="AK5" s="172">
        <f t="shared" si="2"/>
        <v>46080</v>
      </c>
      <c r="AL5" s="172">
        <f t="shared" si="2"/>
        <v>46081</v>
      </c>
      <c r="AM5" s="172">
        <f t="shared" si="2"/>
        <v>46082</v>
      </c>
      <c r="AN5" s="172">
        <f t="shared" si="2"/>
        <v>46083</v>
      </c>
      <c r="AO5" s="172">
        <f t="shared" si="2"/>
        <v>46084</v>
      </c>
      <c r="AP5" s="93" t="s">
        <v>249</v>
      </c>
      <c r="AQ5" s="93" t="s">
        <v>250</v>
      </c>
      <c r="AR5" s="93" t="s">
        <v>251</v>
      </c>
      <c r="AS5" s="93" t="s">
        <v>227</v>
      </c>
      <c r="AT5" s="93" t="s">
        <v>226</v>
      </c>
      <c r="AU5" s="93" t="s">
        <v>175</v>
      </c>
      <c r="AV5" s="93" t="s">
        <v>176</v>
      </c>
      <c r="AW5" s="93" t="s">
        <v>267</v>
      </c>
      <c r="AX5" s="93" t="s">
        <v>270</v>
      </c>
    </row>
    <row r="6" spans="2:50">
      <c r="B6" s="278">
        <v>1</v>
      </c>
      <c r="C6" s="267" t="s">
        <v>271</v>
      </c>
      <c r="D6" s="273" t="s">
        <v>383</v>
      </c>
      <c r="E6" s="273" t="s">
        <v>166</v>
      </c>
      <c r="F6" s="275" t="s">
        <v>10</v>
      </c>
      <c r="G6" s="271">
        <v>350</v>
      </c>
      <c r="H6" s="272">
        <v>1</v>
      </c>
      <c r="I6" s="272">
        <v>1</v>
      </c>
      <c r="J6" s="182">
        <f>H6+I6</f>
        <v>2</v>
      </c>
      <c r="K6" s="276"/>
      <c r="L6" s="276"/>
      <c r="M6" s="276"/>
      <c r="N6" s="276"/>
      <c r="O6" s="276"/>
      <c r="P6" s="276"/>
      <c r="Q6" s="276"/>
      <c r="R6" s="276">
        <v>1</v>
      </c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182">
        <f>SUM(K6:AO6)</f>
        <v>1</v>
      </c>
      <c r="AQ6" s="182">
        <f>J6-AP6</f>
        <v>1</v>
      </c>
      <c r="AR6" s="182">
        <f>AP6*G6</f>
        <v>350</v>
      </c>
      <c r="AS6" s="182">
        <f>AQ6*G6</f>
        <v>350</v>
      </c>
      <c r="AT6" s="182">
        <f>I6*G6</f>
        <v>350</v>
      </c>
      <c r="AU6" s="174"/>
      <c r="AV6" s="174"/>
      <c r="AW6" s="182">
        <f>AT6*SUM(AU6:AV6)%+AT6</f>
        <v>350</v>
      </c>
      <c r="AX6" s="179"/>
    </row>
    <row r="7" spans="2:50" ht="17.25" customHeight="1">
      <c r="B7" s="278">
        <v>2</v>
      </c>
      <c r="C7" s="267" t="s">
        <v>271</v>
      </c>
      <c r="D7" s="273" t="s">
        <v>113</v>
      </c>
      <c r="E7" s="273" t="s">
        <v>410</v>
      </c>
      <c r="F7" s="275" t="s">
        <v>156</v>
      </c>
      <c r="G7" s="271">
        <v>90</v>
      </c>
      <c r="H7" s="272">
        <v>3</v>
      </c>
      <c r="I7" s="272">
        <v>2</v>
      </c>
      <c r="J7" s="182">
        <f t="shared" ref="J7:J62" si="3">H7+I7</f>
        <v>5</v>
      </c>
      <c r="K7" s="276"/>
      <c r="L7" s="276">
        <v>1</v>
      </c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182">
        <f t="shared" ref="AP7:AP62" si="4">SUM(K7:AO7)</f>
        <v>1</v>
      </c>
      <c r="AQ7" s="182">
        <f t="shared" ref="AQ7:AQ62" si="5">J7-AP7</f>
        <v>4</v>
      </c>
      <c r="AR7" s="182">
        <f t="shared" ref="AR7:AR62" si="6">AP7*G7</f>
        <v>90</v>
      </c>
      <c r="AS7" s="182">
        <f t="shared" ref="AS7:AS62" si="7">AQ7*G7</f>
        <v>360</v>
      </c>
      <c r="AT7" s="182">
        <f t="shared" ref="AT7:AT62" si="8">I7*G7</f>
        <v>180</v>
      </c>
      <c r="AU7" s="174"/>
      <c r="AV7" s="174"/>
      <c r="AW7" s="182">
        <f t="shared" ref="AW7:AW62" si="9">AT7*SUM(AU7:AV7)%+AT7</f>
        <v>180</v>
      </c>
      <c r="AX7" s="179"/>
    </row>
    <row r="8" spans="2:50">
      <c r="B8" s="278">
        <v>3</v>
      </c>
      <c r="C8" s="267" t="s">
        <v>271</v>
      </c>
      <c r="D8" s="273" t="s">
        <v>114</v>
      </c>
      <c r="E8" s="273" t="s">
        <v>411</v>
      </c>
      <c r="F8" s="275" t="s">
        <v>10</v>
      </c>
      <c r="G8" s="271">
        <v>18</v>
      </c>
      <c r="H8" s="272">
        <v>3</v>
      </c>
      <c r="I8" s="272"/>
      <c r="J8" s="182">
        <f t="shared" si="3"/>
        <v>3</v>
      </c>
      <c r="K8" s="276"/>
      <c r="L8" s="276"/>
      <c r="M8" s="276"/>
      <c r="N8" s="276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>
        <v>1</v>
      </c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182">
        <f t="shared" si="4"/>
        <v>1</v>
      </c>
      <c r="AQ8" s="182">
        <f t="shared" si="5"/>
        <v>2</v>
      </c>
      <c r="AR8" s="182">
        <f t="shared" si="6"/>
        <v>18</v>
      </c>
      <c r="AS8" s="182">
        <f t="shared" si="7"/>
        <v>36</v>
      </c>
      <c r="AT8" s="182">
        <f t="shared" si="8"/>
        <v>0</v>
      </c>
      <c r="AU8" s="174"/>
      <c r="AV8" s="174"/>
      <c r="AW8" s="182">
        <f t="shared" si="9"/>
        <v>0</v>
      </c>
      <c r="AX8" s="179"/>
    </row>
    <row r="9" spans="2:50" s="149" customFormat="1">
      <c r="B9" s="278">
        <v>4</v>
      </c>
      <c r="C9" s="267" t="s">
        <v>271</v>
      </c>
      <c r="D9" s="273" t="s">
        <v>384</v>
      </c>
      <c r="E9" s="273" t="s">
        <v>412</v>
      </c>
      <c r="F9" s="275" t="s">
        <v>157</v>
      </c>
      <c r="G9" s="271">
        <v>65</v>
      </c>
      <c r="H9" s="272">
        <v>3</v>
      </c>
      <c r="I9" s="272"/>
      <c r="J9" s="182">
        <f t="shared" si="3"/>
        <v>3</v>
      </c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182">
        <f t="shared" si="4"/>
        <v>0</v>
      </c>
      <c r="AQ9" s="182">
        <f t="shared" si="5"/>
        <v>3</v>
      </c>
      <c r="AR9" s="182">
        <f t="shared" si="6"/>
        <v>0</v>
      </c>
      <c r="AS9" s="182">
        <f t="shared" si="7"/>
        <v>195</v>
      </c>
      <c r="AT9" s="182">
        <f t="shared" si="8"/>
        <v>0</v>
      </c>
      <c r="AU9" s="174"/>
      <c r="AV9" s="174"/>
      <c r="AW9" s="182">
        <f t="shared" si="9"/>
        <v>0</v>
      </c>
      <c r="AX9" s="179"/>
    </row>
    <row r="10" spans="2:50" s="149" customFormat="1">
      <c r="B10" s="278">
        <v>5</v>
      </c>
      <c r="C10" s="267" t="s">
        <v>271</v>
      </c>
      <c r="D10" s="273" t="s">
        <v>115</v>
      </c>
      <c r="E10" s="273" t="s">
        <v>360</v>
      </c>
      <c r="F10" s="275" t="s">
        <v>10</v>
      </c>
      <c r="G10" s="271">
        <v>9</v>
      </c>
      <c r="H10" s="272">
        <v>7</v>
      </c>
      <c r="I10" s="272"/>
      <c r="J10" s="182">
        <f t="shared" si="3"/>
        <v>7</v>
      </c>
      <c r="K10" s="276"/>
      <c r="L10" s="276"/>
      <c r="M10" s="276"/>
      <c r="N10" s="276"/>
      <c r="O10" s="276">
        <v>1</v>
      </c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182">
        <f t="shared" si="4"/>
        <v>1</v>
      </c>
      <c r="AQ10" s="182">
        <f t="shared" si="5"/>
        <v>6</v>
      </c>
      <c r="AR10" s="182">
        <f t="shared" si="6"/>
        <v>9</v>
      </c>
      <c r="AS10" s="182">
        <f t="shared" si="7"/>
        <v>54</v>
      </c>
      <c r="AT10" s="182">
        <f t="shared" si="8"/>
        <v>0</v>
      </c>
      <c r="AU10" s="174"/>
      <c r="AV10" s="174"/>
      <c r="AW10" s="182">
        <f t="shared" si="9"/>
        <v>0</v>
      </c>
      <c r="AX10" s="179"/>
    </row>
    <row r="11" spans="2:50" s="149" customFormat="1">
      <c r="B11" s="278">
        <v>6</v>
      </c>
      <c r="C11" s="267" t="s">
        <v>271</v>
      </c>
      <c r="D11" s="273" t="s">
        <v>116</v>
      </c>
      <c r="E11" s="273" t="s">
        <v>413</v>
      </c>
      <c r="F11" s="275" t="s">
        <v>158</v>
      </c>
      <c r="G11" s="271">
        <v>40</v>
      </c>
      <c r="H11" s="272">
        <v>22</v>
      </c>
      <c r="I11" s="272"/>
      <c r="J11" s="182">
        <f t="shared" si="3"/>
        <v>22</v>
      </c>
      <c r="K11" s="276"/>
      <c r="L11" s="276"/>
      <c r="M11" s="276"/>
      <c r="N11" s="276"/>
      <c r="O11" s="276">
        <v>1</v>
      </c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>
        <v>1</v>
      </c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182">
        <f t="shared" si="4"/>
        <v>2</v>
      </c>
      <c r="AQ11" s="182">
        <f t="shared" si="5"/>
        <v>20</v>
      </c>
      <c r="AR11" s="182">
        <f t="shared" si="6"/>
        <v>80</v>
      </c>
      <c r="AS11" s="182">
        <f t="shared" si="7"/>
        <v>800</v>
      </c>
      <c r="AT11" s="182">
        <f t="shared" si="8"/>
        <v>0</v>
      </c>
      <c r="AU11" s="174"/>
      <c r="AV11" s="174"/>
      <c r="AW11" s="182">
        <f t="shared" si="9"/>
        <v>0</v>
      </c>
      <c r="AX11" s="179"/>
    </row>
    <row r="12" spans="2:50" s="149" customFormat="1">
      <c r="B12" s="278">
        <v>7</v>
      </c>
      <c r="C12" s="267" t="s">
        <v>271</v>
      </c>
      <c r="D12" s="273" t="s">
        <v>274</v>
      </c>
      <c r="E12" s="273" t="s">
        <v>414</v>
      </c>
      <c r="F12" s="275" t="s">
        <v>159</v>
      </c>
      <c r="G12" s="271">
        <v>70</v>
      </c>
      <c r="H12" s="272">
        <v>10</v>
      </c>
      <c r="I12" s="272">
        <v>10</v>
      </c>
      <c r="J12" s="182">
        <f t="shared" si="3"/>
        <v>20</v>
      </c>
      <c r="K12" s="276"/>
      <c r="L12" s="276"/>
      <c r="M12" s="276">
        <v>1</v>
      </c>
      <c r="N12" s="276">
        <v>1</v>
      </c>
      <c r="O12" s="276"/>
      <c r="P12" s="276"/>
      <c r="Q12" s="276">
        <v>1</v>
      </c>
      <c r="R12" s="276"/>
      <c r="S12" s="276">
        <v>1</v>
      </c>
      <c r="T12" s="276"/>
      <c r="U12" s="276"/>
      <c r="V12" s="276"/>
      <c r="W12" s="276"/>
      <c r="X12" s="276"/>
      <c r="Y12" s="276"/>
      <c r="Z12" s="276"/>
      <c r="AA12" s="276">
        <v>1</v>
      </c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182">
        <f t="shared" si="4"/>
        <v>5</v>
      </c>
      <c r="AQ12" s="182">
        <f t="shared" si="5"/>
        <v>15</v>
      </c>
      <c r="AR12" s="182">
        <f t="shared" si="6"/>
        <v>350</v>
      </c>
      <c r="AS12" s="182">
        <f t="shared" si="7"/>
        <v>1050</v>
      </c>
      <c r="AT12" s="182">
        <f t="shared" si="8"/>
        <v>700</v>
      </c>
      <c r="AU12" s="174"/>
      <c r="AV12" s="174"/>
      <c r="AW12" s="182">
        <f t="shared" si="9"/>
        <v>700</v>
      </c>
      <c r="AX12" s="179"/>
    </row>
    <row r="13" spans="2:50" s="149" customFormat="1">
      <c r="B13" s="278">
        <v>8</v>
      </c>
      <c r="C13" s="267" t="s">
        <v>271</v>
      </c>
      <c r="D13" s="273" t="s">
        <v>117</v>
      </c>
      <c r="E13" s="273" t="s">
        <v>360</v>
      </c>
      <c r="F13" s="275" t="s">
        <v>160</v>
      </c>
      <c r="G13" s="271">
        <v>17</v>
      </c>
      <c r="H13" s="272">
        <v>3</v>
      </c>
      <c r="I13" s="272"/>
      <c r="J13" s="182">
        <f t="shared" si="3"/>
        <v>3</v>
      </c>
      <c r="K13" s="276"/>
      <c r="L13" s="276"/>
      <c r="M13" s="276"/>
      <c r="N13" s="276"/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182">
        <f t="shared" si="4"/>
        <v>0</v>
      </c>
      <c r="AQ13" s="182">
        <f t="shared" si="5"/>
        <v>3</v>
      </c>
      <c r="AR13" s="182">
        <f t="shared" si="6"/>
        <v>0</v>
      </c>
      <c r="AS13" s="182">
        <f t="shared" si="7"/>
        <v>51</v>
      </c>
      <c r="AT13" s="182">
        <f t="shared" si="8"/>
        <v>0</v>
      </c>
      <c r="AU13" s="174"/>
      <c r="AV13" s="174"/>
      <c r="AW13" s="182">
        <f t="shared" si="9"/>
        <v>0</v>
      </c>
      <c r="AX13" s="179"/>
    </row>
    <row r="14" spans="2:50" s="149" customFormat="1">
      <c r="B14" s="278">
        <v>9</v>
      </c>
      <c r="C14" s="267" t="s">
        <v>271</v>
      </c>
      <c r="D14" s="273" t="s">
        <v>118</v>
      </c>
      <c r="E14" s="273" t="s">
        <v>360</v>
      </c>
      <c r="F14" s="275" t="s">
        <v>160</v>
      </c>
      <c r="G14" s="271">
        <v>11</v>
      </c>
      <c r="H14" s="272">
        <v>6</v>
      </c>
      <c r="I14" s="272"/>
      <c r="J14" s="182">
        <f t="shared" si="3"/>
        <v>6</v>
      </c>
      <c r="K14" s="276"/>
      <c r="L14" s="276"/>
      <c r="M14" s="276"/>
      <c r="N14" s="276"/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182">
        <f t="shared" si="4"/>
        <v>0</v>
      </c>
      <c r="AQ14" s="182">
        <f t="shared" si="5"/>
        <v>6</v>
      </c>
      <c r="AR14" s="182">
        <f t="shared" si="6"/>
        <v>0</v>
      </c>
      <c r="AS14" s="182">
        <f t="shared" si="7"/>
        <v>66</v>
      </c>
      <c r="AT14" s="182">
        <f t="shared" si="8"/>
        <v>0</v>
      </c>
      <c r="AU14" s="174"/>
      <c r="AV14" s="174"/>
      <c r="AW14" s="182">
        <f t="shared" si="9"/>
        <v>0</v>
      </c>
      <c r="AX14" s="179"/>
    </row>
    <row r="15" spans="2:50" s="149" customFormat="1">
      <c r="B15" s="278">
        <v>10</v>
      </c>
      <c r="C15" s="267" t="s">
        <v>271</v>
      </c>
      <c r="D15" s="273" t="s">
        <v>119</v>
      </c>
      <c r="E15" s="273" t="s">
        <v>360</v>
      </c>
      <c r="F15" s="275" t="s">
        <v>160</v>
      </c>
      <c r="G15" s="271">
        <v>12</v>
      </c>
      <c r="H15" s="272">
        <v>4</v>
      </c>
      <c r="I15" s="272"/>
      <c r="J15" s="182">
        <f t="shared" si="3"/>
        <v>4</v>
      </c>
      <c r="K15" s="276"/>
      <c r="L15" s="276"/>
      <c r="M15" s="276"/>
      <c r="N15" s="276"/>
      <c r="O15" s="276"/>
      <c r="P15" s="276"/>
      <c r="Q15" s="276"/>
      <c r="R15" s="276"/>
      <c r="S15" s="276"/>
      <c r="T15" s="276"/>
      <c r="U15" s="276"/>
      <c r="V15" s="276"/>
      <c r="W15" s="276"/>
      <c r="X15" s="276"/>
      <c r="Y15" s="276"/>
      <c r="Z15" s="276"/>
      <c r="AA15" s="276"/>
      <c r="AB15" s="276"/>
      <c r="AC15" s="276"/>
      <c r="AD15" s="276"/>
      <c r="AE15" s="276"/>
      <c r="AF15" s="276"/>
      <c r="AG15" s="276"/>
      <c r="AH15" s="276"/>
      <c r="AI15" s="276"/>
      <c r="AJ15" s="276"/>
      <c r="AK15" s="276"/>
      <c r="AL15" s="276"/>
      <c r="AM15" s="276"/>
      <c r="AN15" s="276"/>
      <c r="AO15" s="276"/>
      <c r="AP15" s="182">
        <f t="shared" si="4"/>
        <v>0</v>
      </c>
      <c r="AQ15" s="182">
        <f t="shared" si="5"/>
        <v>4</v>
      </c>
      <c r="AR15" s="182">
        <f t="shared" si="6"/>
        <v>0</v>
      </c>
      <c r="AS15" s="182">
        <f t="shared" si="7"/>
        <v>48</v>
      </c>
      <c r="AT15" s="182">
        <f t="shared" si="8"/>
        <v>0</v>
      </c>
      <c r="AU15" s="174"/>
      <c r="AV15" s="174"/>
      <c r="AW15" s="182">
        <f t="shared" si="9"/>
        <v>0</v>
      </c>
      <c r="AX15" s="179"/>
    </row>
    <row r="16" spans="2:50" s="149" customFormat="1">
      <c r="B16" s="278">
        <v>11</v>
      </c>
      <c r="C16" s="267" t="s">
        <v>271</v>
      </c>
      <c r="D16" s="273" t="s">
        <v>120</v>
      </c>
      <c r="E16" s="273" t="s">
        <v>415</v>
      </c>
      <c r="F16" s="275" t="s">
        <v>160</v>
      </c>
      <c r="G16" s="271">
        <v>40</v>
      </c>
      <c r="H16" s="272">
        <v>8</v>
      </c>
      <c r="I16" s="272"/>
      <c r="J16" s="182">
        <f t="shared" si="3"/>
        <v>8</v>
      </c>
      <c r="K16" s="276"/>
      <c r="L16" s="276"/>
      <c r="M16" s="276"/>
      <c r="N16" s="276"/>
      <c r="O16" s="276"/>
      <c r="P16" s="276"/>
      <c r="Q16" s="276"/>
      <c r="R16" s="276"/>
      <c r="S16" s="276"/>
      <c r="T16" s="276"/>
      <c r="U16" s="276"/>
      <c r="V16" s="276"/>
      <c r="W16" s="276"/>
      <c r="X16" s="276"/>
      <c r="Y16" s="276"/>
      <c r="Z16" s="276"/>
      <c r="AA16" s="276"/>
      <c r="AB16" s="276"/>
      <c r="AC16" s="276"/>
      <c r="AD16" s="276"/>
      <c r="AE16" s="276"/>
      <c r="AF16" s="276"/>
      <c r="AG16" s="276"/>
      <c r="AH16" s="276"/>
      <c r="AI16" s="276"/>
      <c r="AJ16" s="276"/>
      <c r="AK16" s="276"/>
      <c r="AL16" s="276"/>
      <c r="AM16" s="276"/>
      <c r="AN16" s="276"/>
      <c r="AO16" s="276"/>
      <c r="AP16" s="182">
        <f t="shared" si="4"/>
        <v>0</v>
      </c>
      <c r="AQ16" s="182">
        <f t="shared" si="5"/>
        <v>8</v>
      </c>
      <c r="AR16" s="182">
        <f t="shared" si="6"/>
        <v>0</v>
      </c>
      <c r="AS16" s="182">
        <f t="shared" si="7"/>
        <v>320</v>
      </c>
      <c r="AT16" s="182">
        <f t="shared" si="8"/>
        <v>0</v>
      </c>
      <c r="AU16" s="174"/>
      <c r="AV16" s="174"/>
      <c r="AW16" s="182">
        <f t="shared" si="9"/>
        <v>0</v>
      </c>
      <c r="AX16" s="179"/>
    </row>
    <row r="17" spans="2:50" s="149" customFormat="1">
      <c r="B17" s="278">
        <v>12</v>
      </c>
      <c r="C17" s="267" t="s">
        <v>271</v>
      </c>
      <c r="D17" s="273" t="s">
        <v>385</v>
      </c>
      <c r="E17" s="273" t="s">
        <v>360</v>
      </c>
      <c r="F17" s="270" t="s">
        <v>160</v>
      </c>
      <c r="G17" s="271">
        <v>240</v>
      </c>
      <c r="H17" s="272">
        <v>1</v>
      </c>
      <c r="I17" s="272"/>
      <c r="J17" s="182">
        <f t="shared" si="3"/>
        <v>1</v>
      </c>
      <c r="K17" s="276"/>
      <c r="L17" s="276"/>
      <c r="M17" s="276"/>
      <c r="N17" s="276"/>
      <c r="O17" s="276"/>
      <c r="P17" s="276"/>
      <c r="Q17" s="276"/>
      <c r="R17" s="276"/>
      <c r="S17" s="276"/>
      <c r="T17" s="276"/>
      <c r="U17" s="276"/>
      <c r="V17" s="276"/>
      <c r="W17" s="276"/>
      <c r="X17" s="276"/>
      <c r="Y17" s="276"/>
      <c r="Z17" s="276"/>
      <c r="AA17" s="276"/>
      <c r="AB17" s="276"/>
      <c r="AC17" s="276"/>
      <c r="AD17" s="276"/>
      <c r="AE17" s="276"/>
      <c r="AF17" s="276"/>
      <c r="AG17" s="276"/>
      <c r="AH17" s="276"/>
      <c r="AI17" s="276"/>
      <c r="AJ17" s="276"/>
      <c r="AK17" s="276"/>
      <c r="AL17" s="276"/>
      <c r="AM17" s="276"/>
      <c r="AN17" s="276"/>
      <c r="AO17" s="276"/>
      <c r="AP17" s="182">
        <f t="shared" si="4"/>
        <v>0</v>
      </c>
      <c r="AQ17" s="182">
        <f t="shared" si="5"/>
        <v>1</v>
      </c>
      <c r="AR17" s="182">
        <f t="shared" si="6"/>
        <v>0</v>
      </c>
      <c r="AS17" s="182">
        <f t="shared" si="7"/>
        <v>240</v>
      </c>
      <c r="AT17" s="182">
        <f t="shared" si="8"/>
        <v>0</v>
      </c>
      <c r="AU17" s="174"/>
      <c r="AV17" s="174"/>
      <c r="AW17" s="182">
        <f t="shared" si="9"/>
        <v>0</v>
      </c>
      <c r="AX17" s="179"/>
    </row>
    <row r="18" spans="2:50" s="149" customFormat="1">
      <c r="B18" s="278">
        <v>13</v>
      </c>
      <c r="C18" s="267" t="s">
        <v>271</v>
      </c>
      <c r="D18" s="273" t="s">
        <v>121</v>
      </c>
      <c r="E18" s="273" t="s">
        <v>370</v>
      </c>
      <c r="F18" s="275" t="s">
        <v>10</v>
      </c>
      <c r="G18" s="271">
        <v>85</v>
      </c>
      <c r="H18" s="272">
        <v>0</v>
      </c>
      <c r="I18" s="272"/>
      <c r="J18" s="182">
        <f t="shared" si="3"/>
        <v>0</v>
      </c>
      <c r="K18" s="276"/>
      <c r="L18" s="276"/>
      <c r="M18" s="276"/>
      <c r="N18" s="276"/>
      <c r="O18" s="276"/>
      <c r="P18" s="276"/>
      <c r="Q18" s="276"/>
      <c r="R18" s="276"/>
      <c r="S18" s="276"/>
      <c r="T18" s="276"/>
      <c r="U18" s="276"/>
      <c r="V18" s="276"/>
      <c r="W18" s="276"/>
      <c r="X18" s="276"/>
      <c r="Y18" s="276"/>
      <c r="Z18" s="276"/>
      <c r="AA18" s="276"/>
      <c r="AB18" s="276"/>
      <c r="AC18" s="276"/>
      <c r="AD18" s="276"/>
      <c r="AE18" s="276"/>
      <c r="AF18" s="276"/>
      <c r="AG18" s="276"/>
      <c r="AH18" s="276"/>
      <c r="AI18" s="276"/>
      <c r="AJ18" s="276"/>
      <c r="AK18" s="276"/>
      <c r="AL18" s="276"/>
      <c r="AM18" s="276"/>
      <c r="AN18" s="276"/>
      <c r="AO18" s="276"/>
      <c r="AP18" s="182">
        <f t="shared" si="4"/>
        <v>0</v>
      </c>
      <c r="AQ18" s="182">
        <f t="shared" si="5"/>
        <v>0</v>
      </c>
      <c r="AR18" s="182">
        <f t="shared" si="6"/>
        <v>0</v>
      </c>
      <c r="AS18" s="182">
        <f t="shared" si="7"/>
        <v>0</v>
      </c>
      <c r="AT18" s="182">
        <f t="shared" si="8"/>
        <v>0</v>
      </c>
      <c r="AU18" s="174"/>
      <c r="AV18" s="174"/>
      <c r="AW18" s="182">
        <f t="shared" si="9"/>
        <v>0</v>
      </c>
      <c r="AX18" s="179"/>
    </row>
    <row r="19" spans="2:50" s="149" customFormat="1">
      <c r="B19" s="278">
        <v>14</v>
      </c>
      <c r="C19" s="267" t="s">
        <v>271</v>
      </c>
      <c r="D19" s="273" t="s">
        <v>386</v>
      </c>
      <c r="E19" s="273" t="s">
        <v>386</v>
      </c>
      <c r="F19" s="275" t="s">
        <v>10</v>
      </c>
      <c r="G19" s="271">
        <v>72</v>
      </c>
      <c r="H19" s="272">
        <v>0</v>
      </c>
      <c r="I19" s="272">
        <v>4</v>
      </c>
      <c r="J19" s="182">
        <f t="shared" si="3"/>
        <v>4</v>
      </c>
      <c r="K19" s="276"/>
      <c r="L19" s="276"/>
      <c r="M19" s="276"/>
      <c r="N19" s="276"/>
      <c r="O19" s="276"/>
      <c r="P19" s="276"/>
      <c r="Q19" s="276"/>
      <c r="R19" s="276"/>
      <c r="S19" s="276"/>
      <c r="T19" s="276"/>
      <c r="U19" s="276"/>
      <c r="V19" s="276"/>
      <c r="W19" s="276"/>
      <c r="X19" s="276"/>
      <c r="Y19" s="276"/>
      <c r="Z19" s="276">
        <v>1</v>
      </c>
      <c r="AA19" s="276"/>
      <c r="AB19" s="276"/>
      <c r="AC19" s="276"/>
      <c r="AD19" s="276"/>
      <c r="AE19" s="276"/>
      <c r="AF19" s="276"/>
      <c r="AG19" s="276"/>
      <c r="AH19" s="276"/>
      <c r="AI19" s="276"/>
      <c r="AJ19" s="276"/>
      <c r="AK19" s="276"/>
      <c r="AL19" s="276"/>
      <c r="AM19" s="276"/>
      <c r="AN19" s="276"/>
      <c r="AO19" s="276"/>
      <c r="AP19" s="182">
        <f t="shared" si="4"/>
        <v>1</v>
      </c>
      <c r="AQ19" s="182">
        <f t="shared" si="5"/>
        <v>3</v>
      </c>
      <c r="AR19" s="182">
        <f t="shared" si="6"/>
        <v>72</v>
      </c>
      <c r="AS19" s="182">
        <f t="shared" si="7"/>
        <v>216</v>
      </c>
      <c r="AT19" s="182">
        <f t="shared" si="8"/>
        <v>288</v>
      </c>
      <c r="AU19" s="174"/>
      <c r="AV19" s="174"/>
      <c r="AW19" s="182">
        <f t="shared" si="9"/>
        <v>288</v>
      </c>
      <c r="AX19" s="179"/>
    </row>
    <row r="20" spans="2:50" s="149" customFormat="1">
      <c r="B20" s="278">
        <v>15</v>
      </c>
      <c r="C20" s="267" t="s">
        <v>271</v>
      </c>
      <c r="D20" s="273" t="s">
        <v>122</v>
      </c>
      <c r="E20" s="273" t="s">
        <v>416</v>
      </c>
      <c r="F20" s="275" t="s">
        <v>10</v>
      </c>
      <c r="G20" s="271">
        <v>85</v>
      </c>
      <c r="H20" s="272">
        <v>2</v>
      </c>
      <c r="I20" s="272"/>
      <c r="J20" s="182">
        <f t="shared" si="3"/>
        <v>2</v>
      </c>
      <c r="K20" s="276"/>
      <c r="L20" s="276"/>
      <c r="M20" s="276"/>
      <c r="N20" s="276"/>
      <c r="O20" s="276"/>
      <c r="P20" s="276"/>
      <c r="Q20" s="276"/>
      <c r="R20" s="276"/>
      <c r="S20" s="276"/>
      <c r="T20" s="276"/>
      <c r="U20" s="276"/>
      <c r="V20" s="276"/>
      <c r="W20" s="276"/>
      <c r="X20" s="276"/>
      <c r="Y20" s="276"/>
      <c r="Z20" s="276"/>
      <c r="AA20" s="276"/>
      <c r="AB20" s="276"/>
      <c r="AC20" s="276"/>
      <c r="AD20" s="276"/>
      <c r="AE20" s="276"/>
      <c r="AF20" s="276"/>
      <c r="AG20" s="276"/>
      <c r="AH20" s="276"/>
      <c r="AI20" s="276"/>
      <c r="AJ20" s="276"/>
      <c r="AK20" s="276"/>
      <c r="AL20" s="276"/>
      <c r="AM20" s="276"/>
      <c r="AN20" s="276"/>
      <c r="AO20" s="276"/>
      <c r="AP20" s="182">
        <f t="shared" si="4"/>
        <v>0</v>
      </c>
      <c r="AQ20" s="182">
        <f t="shared" si="5"/>
        <v>2</v>
      </c>
      <c r="AR20" s="182">
        <f t="shared" si="6"/>
        <v>0</v>
      </c>
      <c r="AS20" s="182">
        <f t="shared" si="7"/>
        <v>170</v>
      </c>
      <c r="AT20" s="182">
        <f t="shared" si="8"/>
        <v>0</v>
      </c>
      <c r="AU20" s="174"/>
      <c r="AV20" s="174"/>
      <c r="AW20" s="182">
        <f t="shared" si="9"/>
        <v>0</v>
      </c>
      <c r="AX20" s="179"/>
    </row>
    <row r="21" spans="2:50" s="149" customFormat="1">
      <c r="B21" s="278">
        <v>16</v>
      </c>
      <c r="C21" s="267" t="s">
        <v>271</v>
      </c>
      <c r="D21" s="273" t="s">
        <v>123</v>
      </c>
      <c r="E21" s="273" t="s">
        <v>416</v>
      </c>
      <c r="F21" s="275" t="s">
        <v>10</v>
      </c>
      <c r="G21" s="271">
        <v>85</v>
      </c>
      <c r="H21" s="272">
        <v>12</v>
      </c>
      <c r="I21" s="272"/>
      <c r="J21" s="182">
        <f t="shared" si="3"/>
        <v>12</v>
      </c>
      <c r="K21" s="276"/>
      <c r="L21" s="276"/>
      <c r="M21" s="276"/>
      <c r="N21" s="276"/>
      <c r="O21" s="276"/>
      <c r="P21" s="276"/>
      <c r="Q21" s="276"/>
      <c r="R21" s="276"/>
      <c r="S21" s="276"/>
      <c r="T21" s="276"/>
      <c r="U21" s="276"/>
      <c r="V21" s="276"/>
      <c r="W21" s="276"/>
      <c r="X21" s="276"/>
      <c r="Y21" s="276"/>
      <c r="Z21" s="276"/>
      <c r="AA21" s="276"/>
      <c r="AB21" s="276"/>
      <c r="AC21" s="276"/>
      <c r="AD21" s="276"/>
      <c r="AE21" s="276"/>
      <c r="AF21" s="276"/>
      <c r="AG21" s="276"/>
      <c r="AH21" s="276"/>
      <c r="AI21" s="276"/>
      <c r="AJ21" s="276"/>
      <c r="AK21" s="276"/>
      <c r="AL21" s="276"/>
      <c r="AM21" s="276"/>
      <c r="AN21" s="276"/>
      <c r="AO21" s="276"/>
      <c r="AP21" s="182">
        <f t="shared" si="4"/>
        <v>0</v>
      </c>
      <c r="AQ21" s="182">
        <f t="shared" si="5"/>
        <v>12</v>
      </c>
      <c r="AR21" s="182">
        <f t="shared" si="6"/>
        <v>0</v>
      </c>
      <c r="AS21" s="182">
        <f t="shared" si="7"/>
        <v>1020</v>
      </c>
      <c r="AT21" s="182">
        <f t="shared" si="8"/>
        <v>0</v>
      </c>
      <c r="AU21" s="174"/>
      <c r="AV21" s="174"/>
      <c r="AW21" s="182">
        <f t="shared" si="9"/>
        <v>0</v>
      </c>
      <c r="AX21" s="179"/>
    </row>
    <row r="22" spans="2:50" s="149" customFormat="1">
      <c r="B22" s="278">
        <v>17</v>
      </c>
      <c r="C22" s="267" t="s">
        <v>271</v>
      </c>
      <c r="D22" s="273" t="s">
        <v>124</v>
      </c>
      <c r="E22" s="273" t="s">
        <v>417</v>
      </c>
      <c r="F22" s="275" t="s">
        <v>162</v>
      </c>
      <c r="G22" s="271">
        <v>640</v>
      </c>
      <c r="H22" s="272">
        <v>1</v>
      </c>
      <c r="I22" s="272">
        <v>1</v>
      </c>
      <c r="J22" s="182">
        <f t="shared" si="3"/>
        <v>2</v>
      </c>
      <c r="K22" s="276"/>
      <c r="L22" s="276"/>
      <c r="M22" s="276"/>
      <c r="N22" s="276"/>
      <c r="O22" s="276"/>
      <c r="P22" s="276"/>
      <c r="Q22" s="276"/>
      <c r="R22" s="276"/>
      <c r="S22" s="276"/>
      <c r="T22" s="276"/>
      <c r="U22" s="276"/>
      <c r="V22" s="276"/>
      <c r="W22" s="276"/>
      <c r="X22" s="276"/>
      <c r="Y22" s="276"/>
      <c r="Z22" s="276"/>
      <c r="AA22" s="276"/>
      <c r="AB22" s="276"/>
      <c r="AC22" s="276"/>
      <c r="AD22" s="276"/>
      <c r="AE22" s="276"/>
      <c r="AF22" s="276"/>
      <c r="AG22" s="276"/>
      <c r="AH22" s="276"/>
      <c r="AI22" s="276"/>
      <c r="AJ22" s="276"/>
      <c r="AK22" s="276"/>
      <c r="AL22" s="276"/>
      <c r="AM22" s="276"/>
      <c r="AN22" s="276"/>
      <c r="AO22" s="276"/>
      <c r="AP22" s="182">
        <f t="shared" si="4"/>
        <v>0</v>
      </c>
      <c r="AQ22" s="182">
        <f t="shared" si="5"/>
        <v>2</v>
      </c>
      <c r="AR22" s="182">
        <f t="shared" si="6"/>
        <v>0</v>
      </c>
      <c r="AS22" s="182">
        <f t="shared" si="7"/>
        <v>1280</v>
      </c>
      <c r="AT22" s="182">
        <f t="shared" si="8"/>
        <v>640</v>
      </c>
      <c r="AU22" s="174"/>
      <c r="AV22" s="174"/>
      <c r="AW22" s="182">
        <f t="shared" si="9"/>
        <v>640</v>
      </c>
      <c r="AX22" s="179"/>
    </row>
    <row r="23" spans="2:50" s="149" customFormat="1">
      <c r="B23" s="278">
        <v>18</v>
      </c>
      <c r="C23" s="267" t="s">
        <v>271</v>
      </c>
      <c r="D23" s="273" t="s">
        <v>125</v>
      </c>
      <c r="E23" s="273" t="s">
        <v>417</v>
      </c>
      <c r="F23" s="275" t="s">
        <v>162</v>
      </c>
      <c r="G23" s="271">
        <v>780</v>
      </c>
      <c r="H23" s="272">
        <v>2</v>
      </c>
      <c r="I23" s="272"/>
      <c r="J23" s="182">
        <f t="shared" si="3"/>
        <v>2</v>
      </c>
      <c r="K23" s="276"/>
      <c r="L23" s="276"/>
      <c r="M23" s="276"/>
      <c r="N23" s="276"/>
      <c r="O23" s="276"/>
      <c r="P23" s="276"/>
      <c r="Q23" s="276"/>
      <c r="R23" s="276"/>
      <c r="S23" s="276"/>
      <c r="T23" s="276"/>
      <c r="U23" s="276"/>
      <c r="V23" s="276"/>
      <c r="W23" s="276"/>
      <c r="X23" s="276"/>
      <c r="Y23" s="276"/>
      <c r="Z23" s="276"/>
      <c r="AA23" s="276"/>
      <c r="AB23" s="276"/>
      <c r="AC23" s="276"/>
      <c r="AD23" s="276"/>
      <c r="AE23" s="276"/>
      <c r="AF23" s="276"/>
      <c r="AG23" s="276"/>
      <c r="AH23" s="276"/>
      <c r="AI23" s="276"/>
      <c r="AJ23" s="276"/>
      <c r="AK23" s="276"/>
      <c r="AL23" s="276"/>
      <c r="AM23" s="276"/>
      <c r="AN23" s="276"/>
      <c r="AO23" s="276"/>
      <c r="AP23" s="182">
        <f t="shared" si="4"/>
        <v>0</v>
      </c>
      <c r="AQ23" s="182">
        <f t="shared" si="5"/>
        <v>2</v>
      </c>
      <c r="AR23" s="182">
        <f t="shared" si="6"/>
        <v>0</v>
      </c>
      <c r="AS23" s="182">
        <f t="shared" si="7"/>
        <v>1560</v>
      </c>
      <c r="AT23" s="182">
        <f t="shared" si="8"/>
        <v>0</v>
      </c>
      <c r="AU23" s="174"/>
      <c r="AV23" s="174"/>
      <c r="AW23" s="182">
        <f t="shared" si="9"/>
        <v>0</v>
      </c>
      <c r="AX23" s="179"/>
    </row>
    <row r="24" spans="2:50" s="149" customFormat="1">
      <c r="B24" s="278">
        <v>19</v>
      </c>
      <c r="C24" s="267" t="s">
        <v>271</v>
      </c>
      <c r="D24" s="273" t="s">
        <v>126</v>
      </c>
      <c r="E24" s="273" t="s">
        <v>418</v>
      </c>
      <c r="F24" s="275" t="s">
        <v>11</v>
      </c>
      <c r="G24" s="271">
        <v>62</v>
      </c>
      <c r="H24" s="272">
        <v>8</v>
      </c>
      <c r="I24" s="272">
        <v>25</v>
      </c>
      <c r="J24" s="182">
        <f t="shared" si="3"/>
        <v>33</v>
      </c>
      <c r="K24" s="276"/>
      <c r="L24" s="276">
        <v>4</v>
      </c>
      <c r="M24" s="276"/>
      <c r="N24" s="276"/>
      <c r="O24" s="276"/>
      <c r="P24" s="276"/>
      <c r="Q24" s="276"/>
      <c r="R24" s="276"/>
      <c r="S24" s="276"/>
      <c r="T24" s="276">
        <v>4</v>
      </c>
      <c r="U24" s="276"/>
      <c r="V24" s="276"/>
      <c r="W24" s="276"/>
      <c r="X24" s="276"/>
      <c r="Y24" s="276"/>
      <c r="Z24" s="276">
        <v>1</v>
      </c>
      <c r="AA24" s="276"/>
      <c r="AB24" s="276"/>
      <c r="AC24" s="276"/>
      <c r="AD24" s="276"/>
      <c r="AE24" s="276"/>
      <c r="AF24" s="276"/>
      <c r="AG24" s="276"/>
      <c r="AH24" s="276"/>
      <c r="AI24" s="276"/>
      <c r="AJ24" s="276"/>
      <c r="AK24" s="276"/>
      <c r="AL24" s="276"/>
      <c r="AM24" s="276"/>
      <c r="AN24" s="276"/>
      <c r="AO24" s="276"/>
      <c r="AP24" s="182">
        <f t="shared" si="4"/>
        <v>9</v>
      </c>
      <c r="AQ24" s="182">
        <f t="shared" si="5"/>
        <v>24</v>
      </c>
      <c r="AR24" s="182">
        <f t="shared" si="6"/>
        <v>558</v>
      </c>
      <c r="AS24" s="182">
        <f t="shared" si="7"/>
        <v>1488</v>
      </c>
      <c r="AT24" s="182">
        <f t="shared" si="8"/>
        <v>1550</v>
      </c>
      <c r="AU24" s="174"/>
      <c r="AV24" s="174"/>
      <c r="AW24" s="182">
        <f t="shared" si="9"/>
        <v>1550</v>
      </c>
      <c r="AX24" s="179"/>
    </row>
    <row r="25" spans="2:50" s="149" customFormat="1">
      <c r="B25" s="278">
        <v>20</v>
      </c>
      <c r="C25" s="267" t="s">
        <v>271</v>
      </c>
      <c r="D25" s="273" t="s">
        <v>127</v>
      </c>
      <c r="E25" s="273" t="s">
        <v>419</v>
      </c>
      <c r="F25" s="275" t="s">
        <v>12</v>
      </c>
      <c r="G25" s="271">
        <v>24</v>
      </c>
      <c r="H25" s="272">
        <v>14</v>
      </c>
      <c r="I25" s="272">
        <v>30</v>
      </c>
      <c r="J25" s="182">
        <f t="shared" si="3"/>
        <v>44</v>
      </c>
      <c r="K25" s="276"/>
      <c r="L25" s="276">
        <v>3</v>
      </c>
      <c r="M25" s="276">
        <v>1</v>
      </c>
      <c r="N25" s="276"/>
      <c r="O25" s="276">
        <v>2</v>
      </c>
      <c r="P25" s="276">
        <v>1</v>
      </c>
      <c r="Q25" s="276"/>
      <c r="R25" s="276"/>
      <c r="S25" s="276">
        <v>2</v>
      </c>
      <c r="T25" s="276">
        <v>4</v>
      </c>
      <c r="U25" s="276"/>
      <c r="V25" s="276"/>
      <c r="W25" s="276">
        <v>1</v>
      </c>
      <c r="X25" s="276"/>
      <c r="Y25" s="276"/>
      <c r="Z25" s="276">
        <v>3</v>
      </c>
      <c r="AA25" s="276"/>
      <c r="AB25" s="276"/>
      <c r="AC25" s="276"/>
      <c r="AD25" s="276"/>
      <c r="AE25" s="276"/>
      <c r="AF25" s="276"/>
      <c r="AG25" s="276"/>
      <c r="AH25" s="276"/>
      <c r="AI25" s="276"/>
      <c r="AJ25" s="276"/>
      <c r="AK25" s="276"/>
      <c r="AL25" s="276"/>
      <c r="AM25" s="276"/>
      <c r="AN25" s="276"/>
      <c r="AO25" s="276"/>
      <c r="AP25" s="182">
        <f t="shared" si="4"/>
        <v>17</v>
      </c>
      <c r="AQ25" s="182">
        <f t="shared" si="5"/>
        <v>27</v>
      </c>
      <c r="AR25" s="182">
        <f t="shared" si="6"/>
        <v>408</v>
      </c>
      <c r="AS25" s="182">
        <f t="shared" si="7"/>
        <v>648</v>
      </c>
      <c r="AT25" s="182">
        <f t="shared" si="8"/>
        <v>720</v>
      </c>
      <c r="AU25" s="174"/>
      <c r="AV25" s="174"/>
      <c r="AW25" s="182">
        <f t="shared" si="9"/>
        <v>720</v>
      </c>
      <c r="AX25" s="179"/>
    </row>
    <row r="26" spans="2:50" s="149" customFormat="1">
      <c r="B26" s="278">
        <v>21</v>
      </c>
      <c r="C26" s="267" t="s">
        <v>271</v>
      </c>
      <c r="D26" s="273" t="s">
        <v>128</v>
      </c>
      <c r="E26" s="273" t="s">
        <v>360</v>
      </c>
      <c r="F26" s="275" t="s">
        <v>10</v>
      </c>
      <c r="G26" s="271">
        <v>65</v>
      </c>
      <c r="H26" s="272">
        <v>3</v>
      </c>
      <c r="I26" s="272"/>
      <c r="J26" s="182">
        <f t="shared" si="3"/>
        <v>3</v>
      </c>
      <c r="K26" s="276"/>
      <c r="L26" s="276"/>
      <c r="M26" s="276"/>
      <c r="N26" s="276"/>
      <c r="O26" s="276"/>
      <c r="P26" s="276"/>
      <c r="Q26" s="276"/>
      <c r="R26" s="276"/>
      <c r="S26" s="276"/>
      <c r="T26" s="276"/>
      <c r="U26" s="276"/>
      <c r="V26" s="276"/>
      <c r="W26" s="276"/>
      <c r="X26" s="276"/>
      <c r="Y26" s="276"/>
      <c r="Z26" s="276"/>
      <c r="AA26" s="276"/>
      <c r="AB26" s="276"/>
      <c r="AC26" s="276"/>
      <c r="AD26" s="276"/>
      <c r="AE26" s="276"/>
      <c r="AF26" s="276"/>
      <c r="AG26" s="276"/>
      <c r="AH26" s="276"/>
      <c r="AI26" s="276"/>
      <c r="AJ26" s="276"/>
      <c r="AK26" s="276"/>
      <c r="AL26" s="276"/>
      <c r="AM26" s="276"/>
      <c r="AN26" s="276"/>
      <c r="AO26" s="276"/>
      <c r="AP26" s="182">
        <f t="shared" si="4"/>
        <v>0</v>
      </c>
      <c r="AQ26" s="182">
        <f t="shared" si="5"/>
        <v>3</v>
      </c>
      <c r="AR26" s="182">
        <f t="shared" si="6"/>
        <v>0</v>
      </c>
      <c r="AS26" s="182">
        <f t="shared" si="7"/>
        <v>195</v>
      </c>
      <c r="AT26" s="182">
        <f t="shared" si="8"/>
        <v>0</v>
      </c>
      <c r="AU26" s="174"/>
      <c r="AV26" s="174"/>
      <c r="AW26" s="182">
        <f t="shared" si="9"/>
        <v>0</v>
      </c>
      <c r="AX26" s="179"/>
    </row>
    <row r="27" spans="2:50" s="149" customFormat="1">
      <c r="B27" s="278">
        <v>22</v>
      </c>
      <c r="C27" s="267" t="s">
        <v>271</v>
      </c>
      <c r="D27" s="280" t="s">
        <v>129</v>
      </c>
      <c r="E27" s="273" t="s">
        <v>360</v>
      </c>
      <c r="F27" s="275" t="s">
        <v>10</v>
      </c>
      <c r="G27" s="271">
        <v>35</v>
      </c>
      <c r="H27" s="272">
        <v>0</v>
      </c>
      <c r="I27" s="272"/>
      <c r="J27" s="182">
        <f t="shared" si="3"/>
        <v>0</v>
      </c>
      <c r="K27" s="276"/>
      <c r="L27" s="276"/>
      <c r="M27" s="276"/>
      <c r="N27" s="276"/>
      <c r="O27" s="276"/>
      <c r="P27" s="276"/>
      <c r="Q27" s="276"/>
      <c r="R27" s="276"/>
      <c r="S27" s="276"/>
      <c r="T27" s="276"/>
      <c r="U27" s="276"/>
      <c r="V27" s="276"/>
      <c r="W27" s="276"/>
      <c r="X27" s="276"/>
      <c r="Y27" s="276"/>
      <c r="Z27" s="276"/>
      <c r="AA27" s="276"/>
      <c r="AB27" s="276"/>
      <c r="AC27" s="276"/>
      <c r="AD27" s="276"/>
      <c r="AE27" s="276"/>
      <c r="AF27" s="276"/>
      <c r="AG27" s="276"/>
      <c r="AH27" s="276"/>
      <c r="AI27" s="276"/>
      <c r="AJ27" s="276"/>
      <c r="AK27" s="276"/>
      <c r="AL27" s="276"/>
      <c r="AM27" s="276"/>
      <c r="AN27" s="276"/>
      <c r="AO27" s="276"/>
      <c r="AP27" s="182">
        <f t="shared" si="4"/>
        <v>0</v>
      </c>
      <c r="AQ27" s="182">
        <f t="shared" si="5"/>
        <v>0</v>
      </c>
      <c r="AR27" s="182">
        <f t="shared" si="6"/>
        <v>0</v>
      </c>
      <c r="AS27" s="182">
        <f t="shared" si="7"/>
        <v>0</v>
      </c>
      <c r="AT27" s="182">
        <f t="shared" si="8"/>
        <v>0</v>
      </c>
      <c r="AU27" s="174"/>
      <c r="AV27" s="174"/>
      <c r="AW27" s="182">
        <f t="shared" si="9"/>
        <v>0</v>
      </c>
      <c r="AX27" s="179"/>
    </row>
    <row r="28" spans="2:50" s="149" customFormat="1">
      <c r="B28" s="278">
        <v>23</v>
      </c>
      <c r="C28" s="267" t="s">
        <v>271</v>
      </c>
      <c r="D28" s="280" t="s">
        <v>387</v>
      </c>
      <c r="E28" s="273" t="s">
        <v>420</v>
      </c>
      <c r="F28" s="275" t="s">
        <v>10</v>
      </c>
      <c r="G28" s="271">
        <v>40</v>
      </c>
      <c r="H28" s="272">
        <v>0</v>
      </c>
      <c r="I28" s="272"/>
      <c r="J28" s="182">
        <f t="shared" si="3"/>
        <v>0</v>
      </c>
      <c r="K28" s="276"/>
      <c r="L28" s="276"/>
      <c r="M28" s="276"/>
      <c r="N28" s="276"/>
      <c r="O28" s="276"/>
      <c r="P28" s="276"/>
      <c r="Q28" s="276"/>
      <c r="R28" s="276"/>
      <c r="S28" s="276"/>
      <c r="T28" s="276"/>
      <c r="U28" s="276"/>
      <c r="V28" s="276"/>
      <c r="W28" s="276"/>
      <c r="X28" s="276"/>
      <c r="Y28" s="276"/>
      <c r="Z28" s="276"/>
      <c r="AA28" s="276"/>
      <c r="AB28" s="276"/>
      <c r="AC28" s="276"/>
      <c r="AD28" s="276"/>
      <c r="AE28" s="276"/>
      <c r="AF28" s="276"/>
      <c r="AG28" s="276"/>
      <c r="AH28" s="276"/>
      <c r="AI28" s="276"/>
      <c r="AJ28" s="276"/>
      <c r="AK28" s="276"/>
      <c r="AL28" s="276"/>
      <c r="AM28" s="276"/>
      <c r="AN28" s="276"/>
      <c r="AO28" s="276"/>
      <c r="AP28" s="182">
        <f t="shared" si="4"/>
        <v>0</v>
      </c>
      <c r="AQ28" s="182">
        <f t="shared" si="5"/>
        <v>0</v>
      </c>
      <c r="AR28" s="182">
        <f t="shared" si="6"/>
        <v>0</v>
      </c>
      <c r="AS28" s="182">
        <f t="shared" si="7"/>
        <v>0</v>
      </c>
      <c r="AT28" s="182">
        <f t="shared" si="8"/>
        <v>0</v>
      </c>
      <c r="AU28" s="174"/>
      <c r="AV28" s="174"/>
      <c r="AW28" s="182">
        <f t="shared" si="9"/>
        <v>0</v>
      </c>
      <c r="AX28" s="179"/>
    </row>
    <row r="29" spans="2:50" s="149" customFormat="1">
      <c r="B29" s="278">
        <v>24</v>
      </c>
      <c r="C29" s="267" t="s">
        <v>271</v>
      </c>
      <c r="D29" s="273" t="s">
        <v>388</v>
      </c>
      <c r="E29" s="273" t="s">
        <v>421</v>
      </c>
      <c r="F29" s="275" t="s">
        <v>10</v>
      </c>
      <c r="G29" s="271">
        <v>215</v>
      </c>
      <c r="H29" s="272">
        <v>2</v>
      </c>
      <c r="I29" s="272"/>
      <c r="J29" s="182">
        <f t="shared" si="3"/>
        <v>2</v>
      </c>
      <c r="K29" s="276"/>
      <c r="L29" s="276"/>
      <c r="M29" s="276"/>
      <c r="N29" s="276"/>
      <c r="O29" s="276"/>
      <c r="P29" s="276"/>
      <c r="Q29" s="276"/>
      <c r="R29" s="276"/>
      <c r="S29" s="276"/>
      <c r="T29" s="276"/>
      <c r="U29" s="276"/>
      <c r="V29" s="276"/>
      <c r="W29" s="276"/>
      <c r="X29" s="276"/>
      <c r="Y29" s="276"/>
      <c r="Z29" s="276"/>
      <c r="AA29" s="276"/>
      <c r="AB29" s="276"/>
      <c r="AC29" s="276"/>
      <c r="AD29" s="276"/>
      <c r="AE29" s="276"/>
      <c r="AF29" s="276"/>
      <c r="AG29" s="276"/>
      <c r="AH29" s="276"/>
      <c r="AI29" s="276"/>
      <c r="AJ29" s="276"/>
      <c r="AK29" s="276"/>
      <c r="AL29" s="276"/>
      <c r="AM29" s="276"/>
      <c r="AN29" s="276"/>
      <c r="AO29" s="276"/>
      <c r="AP29" s="182">
        <f t="shared" si="4"/>
        <v>0</v>
      </c>
      <c r="AQ29" s="182">
        <f t="shared" si="5"/>
        <v>2</v>
      </c>
      <c r="AR29" s="182">
        <f t="shared" si="6"/>
        <v>0</v>
      </c>
      <c r="AS29" s="182">
        <f t="shared" si="7"/>
        <v>430</v>
      </c>
      <c r="AT29" s="182">
        <f t="shared" si="8"/>
        <v>0</v>
      </c>
      <c r="AU29" s="174"/>
      <c r="AV29" s="174"/>
      <c r="AW29" s="182">
        <f t="shared" si="9"/>
        <v>0</v>
      </c>
      <c r="AX29" s="179"/>
    </row>
    <row r="30" spans="2:50" s="149" customFormat="1">
      <c r="B30" s="278">
        <v>25</v>
      </c>
      <c r="C30" s="267" t="s">
        <v>271</v>
      </c>
      <c r="D30" s="273" t="s">
        <v>389</v>
      </c>
      <c r="E30" s="273" t="s">
        <v>360</v>
      </c>
      <c r="F30" s="275" t="s">
        <v>163</v>
      </c>
      <c r="G30" s="271">
        <v>40</v>
      </c>
      <c r="H30" s="272">
        <v>12</v>
      </c>
      <c r="I30" s="272"/>
      <c r="J30" s="182">
        <f t="shared" si="3"/>
        <v>12</v>
      </c>
      <c r="K30" s="276"/>
      <c r="L30" s="276"/>
      <c r="M30" s="276"/>
      <c r="N30" s="276"/>
      <c r="O30" s="276"/>
      <c r="P30" s="276"/>
      <c r="Q30" s="276"/>
      <c r="R30" s="276"/>
      <c r="S30" s="276"/>
      <c r="T30" s="276"/>
      <c r="U30" s="276"/>
      <c r="V30" s="276"/>
      <c r="W30" s="276"/>
      <c r="X30" s="276"/>
      <c r="Y30" s="276"/>
      <c r="Z30" s="276"/>
      <c r="AA30" s="276"/>
      <c r="AB30" s="276"/>
      <c r="AC30" s="276"/>
      <c r="AD30" s="276"/>
      <c r="AE30" s="276"/>
      <c r="AF30" s="276"/>
      <c r="AG30" s="276"/>
      <c r="AH30" s="276"/>
      <c r="AI30" s="276"/>
      <c r="AJ30" s="276"/>
      <c r="AK30" s="276"/>
      <c r="AL30" s="276"/>
      <c r="AM30" s="276"/>
      <c r="AN30" s="276"/>
      <c r="AO30" s="276"/>
      <c r="AP30" s="182">
        <f t="shared" si="4"/>
        <v>0</v>
      </c>
      <c r="AQ30" s="182">
        <f t="shared" si="5"/>
        <v>12</v>
      </c>
      <c r="AR30" s="182">
        <f t="shared" si="6"/>
        <v>0</v>
      </c>
      <c r="AS30" s="182">
        <f t="shared" si="7"/>
        <v>480</v>
      </c>
      <c r="AT30" s="182">
        <f t="shared" si="8"/>
        <v>0</v>
      </c>
      <c r="AU30" s="174"/>
      <c r="AV30" s="174"/>
      <c r="AW30" s="182">
        <f t="shared" si="9"/>
        <v>0</v>
      </c>
      <c r="AX30" s="179"/>
    </row>
    <row r="31" spans="2:50" s="149" customFormat="1">
      <c r="B31" s="278">
        <v>26</v>
      </c>
      <c r="C31" s="267" t="s">
        <v>271</v>
      </c>
      <c r="D31" s="273" t="s">
        <v>130</v>
      </c>
      <c r="E31" s="273" t="s">
        <v>422</v>
      </c>
      <c r="F31" s="275" t="s">
        <v>10</v>
      </c>
      <c r="G31" s="271">
        <v>30</v>
      </c>
      <c r="H31" s="272">
        <v>5</v>
      </c>
      <c r="I31" s="272"/>
      <c r="J31" s="182">
        <f t="shared" si="3"/>
        <v>5</v>
      </c>
      <c r="K31" s="276"/>
      <c r="L31" s="276"/>
      <c r="M31" s="276"/>
      <c r="N31" s="276"/>
      <c r="O31" s="276"/>
      <c r="P31" s="276"/>
      <c r="Q31" s="276"/>
      <c r="R31" s="276"/>
      <c r="S31" s="276"/>
      <c r="T31" s="276"/>
      <c r="U31" s="276"/>
      <c r="V31" s="276"/>
      <c r="W31" s="276"/>
      <c r="X31" s="276"/>
      <c r="Y31" s="276"/>
      <c r="Z31" s="276"/>
      <c r="AA31" s="276"/>
      <c r="AB31" s="276"/>
      <c r="AC31" s="276"/>
      <c r="AD31" s="276"/>
      <c r="AE31" s="276"/>
      <c r="AF31" s="276"/>
      <c r="AG31" s="276"/>
      <c r="AH31" s="276"/>
      <c r="AI31" s="276"/>
      <c r="AJ31" s="276"/>
      <c r="AK31" s="276"/>
      <c r="AL31" s="276"/>
      <c r="AM31" s="276"/>
      <c r="AN31" s="276"/>
      <c r="AO31" s="276"/>
      <c r="AP31" s="182">
        <f t="shared" si="4"/>
        <v>0</v>
      </c>
      <c r="AQ31" s="182">
        <f t="shared" si="5"/>
        <v>5</v>
      </c>
      <c r="AR31" s="182">
        <f t="shared" si="6"/>
        <v>0</v>
      </c>
      <c r="AS31" s="182">
        <f t="shared" si="7"/>
        <v>150</v>
      </c>
      <c r="AT31" s="182">
        <f t="shared" si="8"/>
        <v>0</v>
      </c>
      <c r="AU31" s="174"/>
      <c r="AV31" s="174"/>
      <c r="AW31" s="182">
        <f t="shared" si="9"/>
        <v>0</v>
      </c>
      <c r="AX31" s="179"/>
    </row>
    <row r="32" spans="2:50" s="149" customFormat="1">
      <c r="B32" s="278">
        <v>27</v>
      </c>
      <c r="C32" s="267" t="s">
        <v>271</v>
      </c>
      <c r="D32" s="273" t="s">
        <v>131</v>
      </c>
      <c r="E32" s="273" t="s">
        <v>360</v>
      </c>
      <c r="F32" s="275" t="s">
        <v>10</v>
      </c>
      <c r="G32" s="271">
        <v>145</v>
      </c>
      <c r="H32" s="272">
        <v>1</v>
      </c>
      <c r="I32" s="272"/>
      <c r="J32" s="182">
        <f t="shared" si="3"/>
        <v>1</v>
      </c>
      <c r="K32" s="276"/>
      <c r="L32" s="276"/>
      <c r="M32" s="276"/>
      <c r="N32" s="276"/>
      <c r="O32" s="276"/>
      <c r="P32" s="276"/>
      <c r="Q32" s="276"/>
      <c r="R32" s="276"/>
      <c r="S32" s="276"/>
      <c r="T32" s="276"/>
      <c r="U32" s="276"/>
      <c r="V32" s="276"/>
      <c r="W32" s="276"/>
      <c r="X32" s="276"/>
      <c r="Y32" s="276"/>
      <c r="Z32" s="276"/>
      <c r="AA32" s="276"/>
      <c r="AB32" s="276"/>
      <c r="AC32" s="276"/>
      <c r="AD32" s="276"/>
      <c r="AE32" s="276"/>
      <c r="AF32" s="276"/>
      <c r="AG32" s="276"/>
      <c r="AH32" s="276"/>
      <c r="AI32" s="276"/>
      <c r="AJ32" s="276"/>
      <c r="AK32" s="276"/>
      <c r="AL32" s="276"/>
      <c r="AM32" s="276"/>
      <c r="AN32" s="276"/>
      <c r="AO32" s="276"/>
      <c r="AP32" s="182">
        <f t="shared" si="4"/>
        <v>0</v>
      </c>
      <c r="AQ32" s="182">
        <f t="shared" si="5"/>
        <v>1</v>
      </c>
      <c r="AR32" s="182">
        <f t="shared" si="6"/>
        <v>0</v>
      </c>
      <c r="AS32" s="182">
        <f t="shared" si="7"/>
        <v>145</v>
      </c>
      <c r="AT32" s="182">
        <f t="shared" si="8"/>
        <v>0</v>
      </c>
      <c r="AU32" s="174"/>
      <c r="AV32" s="174"/>
      <c r="AW32" s="182">
        <f t="shared" si="9"/>
        <v>0</v>
      </c>
      <c r="AX32" s="179"/>
    </row>
    <row r="33" spans="2:50" s="149" customFormat="1">
      <c r="B33" s="278">
        <v>28</v>
      </c>
      <c r="C33" s="267" t="s">
        <v>271</v>
      </c>
      <c r="D33" s="273" t="s">
        <v>132</v>
      </c>
      <c r="E33" s="273" t="s">
        <v>422</v>
      </c>
      <c r="F33" s="275" t="s">
        <v>10</v>
      </c>
      <c r="G33" s="271">
        <v>950</v>
      </c>
      <c r="H33" s="272">
        <v>0</v>
      </c>
      <c r="I33" s="272"/>
      <c r="J33" s="182">
        <f t="shared" si="3"/>
        <v>0</v>
      </c>
      <c r="K33" s="276"/>
      <c r="L33" s="276"/>
      <c r="M33" s="276"/>
      <c r="N33" s="276"/>
      <c r="O33" s="276"/>
      <c r="P33" s="276"/>
      <c r="Q33" s="276"/>
      <c r="R33" s="276"/>
      <c r="S33" s="276"/>
      <c r="T33" s="276"/>
      <c r="U33" s="276"/>
      <c r="V33" s="276"/>
      <c r="W33" s="276"/>
      <c r="X33" s="276"/>
      <c r="Y33" s="276"/>
      <c r="Z33" s="276"/>
      <c r="AA33" s="276"/>
      <c r="AB33" s="276"/>
      <c r="AC33" s="276"/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182">
        <f t="shared" si="4"/>
        <v>0</v>
      </c>
      <c r="AQ33" s="182">
        <f t="shared" si="5"/>
        <v>0</v>
      </c>
      <c r="AR33" s="182">
        <f t="shared" si="6"/>
        <v>0</v>
      </c>
      <c r="AS33" s="182">
        <f t="shared" si="7"/>
        <v>0</v>
      </c>
      <c r="AT33" s="182">
        <f t="shared" si="8"/>
        <v>0</v>
      </c>
      <c r="AU33" s="174"/>
      <c r="AV33" s="174"/>
      <c r="AW33" s="182">
        <f t="shared" si="9"/>
        <v>0</v>
      </c>
      <c r="AX33" s="179"/>
    </row>
    <row r="34" spans="2:50" s="149" customFormat="1">
      <c r="B34" s="278">
        <v>29</v>
      </c>
      <c r="C34" s="267" t="s">
        <v>271</v>
      </c>
      <c r="D34" s="273" t="s">
        <v>133</v>
      </c>
      <c r="E34" s="273" t="s">
        <v>360</v>
      </c>
      <c r="F34" s="275" t="s">
        <v>10</v>
      </c>
      <c r="G34" s="271">
        <v>45</v>
      </c>
      <c r="H34" s="272">
        <v>4</v>
      </c>
      <c r="I34" s="272"/>
      <c r="J34" s="182">
        <f t="shared" si="3"/>
        <v>4</v>
      </c>
      <c r="K34" s="276"/>
      <c r="L34" s="276"/>
      <c r="M34" s="276"/>
      <c r="N34" s="276"/>
      <c r="O34" s="276"/>
      <c r="P34" s="276"/>
      <c r="Q34" s="276"/>
      <c r="R34" s="276"/>
      <c r="S34" s="276"/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  <c r="AG34" s="276"/>
      <c r="AH34" s="276"/>
      <c r="AI34" s="276"/>
      <c r="AJ34" s="276"/>
      <c r="AK34" s="276"/>
      <c r="AL34" s="276"/>
      <c r="AM34" s="276"/>
      <c r="AN34" s="276"/>
      <c r="AO34" s="276"/>
      <c r="AP34" s="182">
        <f t="shared" si="4"/>
        <v>0</v>
      </c>
      <c r="AQ34" s="182">
        <f t="shared" si="5"/>
        <v>4</v>
      </c>
      <c r="AR34" s="182">
        <f t="shared" si="6"/>
        <v>0</v>
      </c>
      <c r="AS34" s="182">
        <f t="shared" si="7"/>
        <v>180</v>
      </c>
      <c r="AT34" s="182">
        <f t="shared" si="8"/>
        <v>0</v>
      </c>
      <c r="AU34" s="174"/>
      <c r="AV34" s="174"/>
      <c r="AW34" s="182">
        <f t="shared" si="9"/>
        <v>0</v>
      </c>
      <c r="AX34" s="179"/>
    </row>
    <row r="35" spans="2:50" s="149" customFormat="1">
      <c r="B35" s="278">
        <v>30</v>
      </c>
      <c r="C35" s="267" t="s">
        <v>271</v>
      </c>
      <c r="D35" s="273" t="s">
        <v>390</v>
      </c>
      <c r="E35" s="273" t="s">
        <v>360</v>
      </c>
      <c r="F35" s="275" t="s">
        <v>10</v>
      </c>
      <c r="G35" s="271">
        <v>140</v>
      </c>
      <c r="H35" s="272">
        <v>4</v>
      </c>
      <c r="I35" s="272"/>
      <c r="J35" s="182">
        <f t="shared" si="3"/>
        <v>4</v>
      </c>
      <c r="K35" s="276"/>
      <c r="L35" s="276"/>
      <c r="M35" s="276"/>
      <c r="N35" s="276"/>
      <c r="O35" s="276"/>
      <c r="P35" s="276"/>
      <c r="Q35" s="276"/>
      <c r="R35" s="276"/>
      <c r="S35" s="276"/>
      <c r="T35" s="276"/>
      <c r="U35" s="276"/>
      <c r="V35" s="276"/>
      <c r="W35" s="276"/>
      <c r="X35" s="276"/>
      <c r="Y35" s="276"/>
      <c r="Z35" s="276">
        <v>1</v>
      </c>
      <c r="AA35" s="276"/>
      <c r="AB35" s="276"/>
      <c r="AC35" s="276"/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182">
        <f t="shared" si="4"/>
        <v>1</v>
      </c>
      <c r="AQ35" s="182">
        <f t="shared" si="5"/>
        <v>3</v>
      </c>
      <c r="AR35" s="182">
        <f t="shared" si="6"/>
        <v>140</v>
      </c>
      <c r="AS35" s="182">
        <f t="shared" si="7"/>
        <v>420</v>
      </c>
      <c r="AT35" s="182">
        <f t="shared" si="8"/>
        <v>0</v>
      </c>
      <c r="AU35" s="174"/>
      <c r="AV35" s="174"/>
      <c r="AW35" s="182">
        <f t="shared" si="9"/>
        <v>0</v>
      </c>
      <c r="AX35" s="179"/>
    </row>
    <row r="36" spans="2:50" s="149" customFormat="1">
      <c r="B36" s="278">
        <v>31</v>
      </c>
      <c r="C36" s="267" t="s">
        <v>271</v>
      </c>
      <c r="D36" s="273" t="s">
        <v>134</v>
      </c>
      <c r="E36" s="273" t="s">
        <v>154</v>
      </c>
      <c r="F36" s="275" t="s">
        <v>10</v>
      </c>
      <c r="G36" s="271">
        <v>102</v>
      </c>
      <c r="H36" s="272">
        <v>2</v>
      </c>
      <c r="I36" s="272"/>
      <c r="J36" s="182">
        <f t="shared" si="3"/>
        <v>2</v>
      </c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/>
      <c r="AE36" s="276"/>
      <c r="AF36" s="276"/>
      <c r="AG36" s="276"/>
      <c r="AH36" s="276"/>
      <c r="AI36" s="276"/>
      <c r="AJ36" s="276"/>
      <c r="AK36" s="276"/>
      <c r="AL36" s="276"/>
      <c r="AM36" s="276"/>
      <c r="AN36" s="276"/>
      <c r="AO36" s="276"/>
      <c r="AP36" s="182">
        <f t="shared" si="4"/>
        <v>0</v>
      </c>
      <c r="AQ36" s="182">
        <f t="shared" si="5"/>
        <v>2</v>
      </c>
      <c r="AR36" s="182">
        <f t="shared" si="6"/>
        <v>0</v>
      </c>
      <c r="AS36" s="182">
        <f t="shared" si="7"/>
        <v>204</v>
      </c>
      <c r="AT36" s="182">
        <f t="shared" si="8"/>
        <v>0</v>
      </c>
      <c r="AU36" s="174"/>
      <c r="AV36" s="174"/>
      <c r="AW36" s="182">
        <f t="shared" si="9"/>
        <v>0</v>
      </c>
      <c r="AX36" s="179"/>
    </row>
    <row r="37" spans="2:50" s="149" customFormat="1">
      <c r="B37" s="278">
        <v>32</v>
      </c>
      <c r="C37" s="267" t="s">
        <v>271</v>
      </c>
      <c r="D37" s="273" t="s">
        <v>391</v>
      </c>
      <c r="E37" s="273" t="s">
        <v>360</v>
      </c>
      <c r="F37" s="275" t="s">
        <v>10</v>
      </c>
      <c r="G37" s="271">
        <v>350</v>
      </c>
      <c r="H37" s="272">
        <v>1</v>
      </c>
      <c r="I37" s="272"/>
      <c r="J37" s="182">
        <f t="shared" si="3"/>
        <v>1</v>
      </c>
      <c r="K37" s="276"/>
      <c r="L37" s="276"/>
      <c r="M37" s="276"/>
      <c r="N37" s="276"/>
      <c r="O37" s="276"/>
      <c r="P37" s="276"/>
      <c r="Q37" s="276"/>
      <c r="R37" s="276"/>
      <c r="S37" s="276"/>
      <c r="T37" s="276"/>
      <c r="U37" s="276"/>
      <c r="V37" s="276"/>
      <c r="W37" s="276"/>
      <c r="X37" s="276"/>
      <c r="Y37" s="276"/>
      <c r="Z37" s="276"/>
      <c r="AA37" s="276"/>
      <c r="AB37" s="276"/>
      <c r="AC37" s="276"/>
      <c r="AD37" s="276"/>
      <c r="AE37" s="276"/>
      <c r="AF37" s="276"/>
      <c r="AG37" s="276"/>
      <c r="AH37" s="276"/>
      <c r="AI37" s="276"/>
      <c r="AJ37" s="276"/>
      <c r="AK37" s="276"/>
      <c r="AL37" s="276"/>
      <c r="AM37" s="276"/>
      <c r="AN37" s="276"/>
      <c r="AO37" s="276"/>
      <c r="AP37" s="182">
        <f t="shared" si="4"/>
        <v>0</v>
      </c>
      <c r="AQ37" s="182">
        <f t="shared" si="5"/>
        <v>1</v>
      </c>
      <c r="AR37" s="182">
        <f t="shared" si="6"/>
        <v>0</v>
      </c>
      <c r="AS37" s="182">
        <f t="shared" si="7"/>
        <v>350</v>
      </c>
      <c r="AT37" s="182">
        <f t="shared" si="8"/>
        <v>0</v>
      </c>
      <c r="AU37" s="174"/>
      <c r="AV37" s="174"/>
      <c r="AW37" s="182">
        <f t="shared" si="9"/>
        <v>0</v>
      </c>
      <c r="AX37" s="179"/>
    </row>
    <row r="38" spans="2:50" s="149" customFormat="1">
      <c r="B38" s="278">
        <v>33</v>
      </c>
      <c r="C38" s="267" t="s">
        <v>271</v>
      </c>
      <c r="D38" s="273" t="s">
        <v>135</v>
      </c>
      <c r="E38" s="273" t="s">
        <v>417</v>
      </c>
      <c r="F38" s="270" t="s">
        <v>161</v>
      </c>
      <c r="G38" s="271">
        <v>900</v>
      </c>
      <c r="H38" s="272">
        <v>1</v>
      </c>
      <c r="I38" s="272"/>
      <c r="J38" s="182">
        <f t="shared" si="3"/>
        <v>1</v>
      </c>
      <c r="K38" s="276"/>
      <c r="L38" s="276"/>
      <c r="M38" s="276"/>
      <c r="N38" s="276"/>
      <c r="O38" s="276"/>
      <c r="P38" s="276"/>
      <c r="Q38" s="276"/>
      <c r="R38" s="276"/>
      <c r="S38" s="276"/>
      <c r="T38" s="276"/>
      <c r="U38" s="276"/>
      <c r="V38" s="276"/>
      <c r="W38" s="276"/>
      <c r="X38" s="276"/>
      <c r="Y38" s="276"/>
      <c r="Z38" s="276"/>
      <c r="AA38" s="276"/>
      <c r="AB38" s="276"/>
      <c r="AC38" s="276"/>
      <c r="AD38" s="276"/>
      <c r="AE38" s="276"/>
      <c r="AF38" s="276"/>
      <c r="AG38" s="276"/>
      <c r="AH38" s="276"/>
      <c r="AI38" s="276"/>
      <c r="AJ38" s="276"/>
      <c r="AK38" s="276"/>
      <c r="AL38" s="276"/>
      <c r="AM38" s="276"/>
      <c r="AN38" s="276"/>
      <c r="AO38" s="276"/>
      <c r="AP38" s="182">
        <f t="shared" si="4"/>
        <v>0</v>
      </c>
      <c r="AQ38" s="182">
        <f t="shared" si="5"/>
        <v>1</v>
      </c>
      <c r="AR38" s="182">
        <f t="shared" si="6"/>
        <v>0</v>
      </c>
      <c r="AS38" s="182">
        <f t="shared" si="7"/>
        <v>900</v>
      </c>
      <c r="AT38" s="182">
        <f t="shared" si="8"/>
        <v>0</v>
      </c>
      <c r="AU38" s="174"/>
      <c r="AV38" s="174"/>
      <c r="AW38" s="182">
        <f t="shared" si="9"/>
        <v>0</v>
      </c>
      <c r="AX38" s="179"/>
    </row>
    <row r="39" spans="2:50" s="149" customFormat="1">
      <c r="B39" s="278">
        <v>34</v>
      </c>
      <c r="C39" s="267" t="s">
        <v>271</v>
      </c>
      <c r="D39" s="273" t="s">
        <v>136</v>
      </c>
      <c r="E39" s="273" t="s">
        <v>417</v>
      </c>
      <c r="F39" s="275" t="s">
        <v>161</v>
      </c>
      <c r="G39" s="271">
        <v>1450</v>
      </c>
      <c r="H39" s="272">
        <v>0</v>
      </c>
      <c r="I39" s="272"/>
      <c r="J39" s="182">
        <f t="shared" si="3"/>
        <v>0</v>
      </c>
      <c r="K39" s="276"/>
      <c r="L39" s="276"/>
      <c r="M39" s="276"/>
      <c r="N39" s="276"/>
      <c r="O39" s="276"/>
      <c r="P39" s="276"/>
      <c r="Q39" s="276"/>
      <c r="R39" s="276"/>
      <c r="S39" s="276"/>
      <c r="T39" s="276"/>
      <c r="U39" s="276"/>
      <c r="V39" s="276"/>
      <c r="W39" s="276"/>
      <c r="X39" s="276"/>
      <c r="Y39" s="276"/>
      <c r="Z39" s="276"/>
      <c r="AA39" s="276"/>
      <c r="AB39" s="276"/>
      <c r="AC39" s="276"/>
      <c r="AD39" s="276"/>
      <c r="AE39" s="276"/>
      <c r="AF39" s="276"/>
      <c r="AG39" s="276"/>
      <c r="AH39" s="276"/>
      <c r="AI39" s="276"/>
      <c r="AJ39" s="276"/>
      <c r="AK39" s="276"/>
      <c r="AL39" s="276"/>
      <c r="AM39" s="276"/>
      <c r="AN39" s="276"/>
      <c r="AO39" s="276"/>
      <c r="AP39" s="182">
        <f t="shared" si="4"/>
        <v>0</v>
      </c>
      <c r="AQ39" s="182">
        <f t="shared" si="5"/>
        <v>0</v>
      </c>
      <c r="AR39" s="182">
        <f t="shared" si="6"/>
        <v>0</v>
      </c>
      <c r="AS39" s="182">
        <f t="shared" si="7"/>
        <v>0</v>
      </c>
      <c r="AT39" s="182">
        <f t="shared" si="8"/>
        <v>0</v>
      </c>
      <c r="AU39" s="174"/>
      <c r="AV39" s="174"/>
      <c r="AW39" s="182">
        <f t="shared" si="9"/>
        <v>0</v>
      </c>
      <c r="AX39" s="179"/>
    </row>
    <row r="40" spans="2:50" s="149" customFormat="1">
      <c r="B40" s="278">
        <v>35</v>
      </c>
      <c r="C40" s="267" t="s">
        <v>271</v>
      </c>
      <c r="D40" s="273" t="s">
        <v>137</v>
      </c>
      <c r="E40" s="273" t="s">
        <v>417</v>
      </c>
      <c r="F40" s="275" t="s">
        <v>161</v>
      </c>
      <c r="G40" s="271">
        <v>980</v>
      </c>
      <c r="H40" s="272">
        <v>2</v>
      </c>
      <c r="I40" s="272"/>
      <c r="J40" s="182">
        <f t="shared" si="3"/>
        <v>2</v>
      </c>
      <c r="K40" s="276"/>
      <c r="L40" s="276"/>
      <c r="M40" s="276"/>
      <c r="N40" s="276"/>
      <c r="O40" s="276"/>
      <c r="P40" s="276"/>
      <c r="Q40" s="276"/>
      <c r="R40" s="276"/>
      <c r="S40" s="276"/>
      <c r="T40" s="276"/>
      <c r="U40" s="276"/>
      <c r="V40" s="276"/>
      <c r="W40" s="276"/>
      <c r="X40" s="276"/>
      <c r="Y40" s="276"/>
      <c r="Z40" s="276"/>
      <c r="AA40" s="276"/>
      <c r="AB40" s="276"/>
      <c r="AC40" s="276"/>
      <c r="AD40" s="276"/>
      <c r="AE40" s="276"/>
      <c r="AF40" s="276"/>
      <c r="AG40" s="276"/>
      <c r="AH40" s="276"/>
      <c r="AI40" s="276"/>
      <c r="AJ40" s="276"/>
      <c r="AK40" s="276"/>
      <c r="AL40" s="276"/>
      <c r="AM40" s="276"/>
      <c r="AN40" s="276"/>
      <c r="AO40" s="276"/>
      <c r="AP40" s="182">
        <f t="shared" si="4"/>
        <v>0</v>
      </c>
      <c r="AQ40" s="182">
        <f t="shared" si="5"/>
        <v>2</v>
      </c>
      <c r="AR40" s="182">
        <f t="shared" si="6"/>
        <v>0</v>
      </c>
      <c r="AS40" s="182">
        <f t="shared" si="7"/>
        <v>1960</v>
      </c>
      <c r="AT40" s="182">
        <f t="shared" si="8"/>
        <v>0</v>
      </c>
      <c r="AU40" s="174"/>
      <c r="AV40" s="174"/>
      <c r="AW40" s="182">
        <f t="shared" si="9"/>
        <v>0</v>
      </c>
      <c r="AX40" s="179"/>
    </row>
    <row r="41" spans="2:50" s="149" customFormat="1">
      <c r="B41" s="278">
        <v>36</v>
      </c>
      <c r="C41" s="267" t="s">
        <v>271</v>
      </c>
      <c r="D41" s="280" t="s">
        <v>138</v>
      </c>
      <c r="E41" s="273" t="s">
        <v>360</v>
      </c>
      <c r="F41" s="275" t="s">
        <v>10</v>
      </c>
      <c r="G41" s="271">
        <v>30</v>
      </c>
      <c r="H41" s="272">
        <v>5</v>
      </c>
      <c r="I41" s="272"/>
      <c r="J41" s="182">
        <f t="shared" si="3"/>
        <v>5</v>
      </c>
      <c r="K41" s="276"/>
      <c r="L41" s="276"/>
      <c r="M41" s="276"/>
      <c r="N41" s="276"/>
      <c r="O41" s="276"/>
      <c r="P41" s="276"/>
      <c r="Q41" s="276"/>
      <c r="R41" s="276"/>
      <c r="S41" s="276"/>
      <c r="T41" s="276"/>
      <c r="U41" s="276"/>
      <c r="V41" s="276"/>
      <c r="W41" s="276"/>
      <c r="X41" s="276"/>
      <c r="Y41" s="276"/>
      <c r="Z41" s="276"/>
      <c r="AA41" s="276"/>
      <c r="AB41" s="276"/>
      <c r="AC41" s="276"/>
      <c r="AD41" s="276"/>
      <c r="AE41" s="276"/>
      <c r="AF41" s="276"/>
      <c r="AG41" s="276"/>
      <c r="AH41" s="276"/>
      <c r="AI41" s="276"/>
      <c r="AJ41" s="276"/>
      <c r="AK41" s="276"/>
      <c r="AL41" s="276"/>
      <c r="AM41" s="276"/>
      <c r="AN41" s="276"/>
      <c r="AO41" s="276"/>
      <c r="AP41" s="182">
        <f t="shared" si="4"/>
        <v>0</v>
      </c>
      <c r="AQ41" s="182">
        <f t="shared" si="5"/>
        <v>5</v>
      </c>
      <c r="AR41" s="182">
        <f t="shared" si="6"/>
        <v>0</v>
      </c>
      <c r="AS41" s="182">
        <f t="shared" si="7"/>
        <v>150</v>
      </c>
      <c r="AT41" s="182">
        <f t="shared" si="8"/>
        <v>0</v>
      </c>
      <c r="AU41" s="174"/>
      <c r="AV41" s="174"/>
      <c r="AW41" s="182">
        <f t="shared" si="9"/>
        <v>0</v>
      </c>
      <c r="AX41" s="179"/>
    </row>
    <row r="42" spans="2:50" s="149" customFormat="1">
      <c r="B42" s="278">
        <v>37</v>
      </c>
      <c r="C42" s="267" t="s">
        <v>271</v>
      </c>
      <c r="D42" s="273" t="s">
        <v>139</v>
      </c>
      <c r="E42" s="273" t="s">
        <v>360</v>
      </c>
      <c r="F42" s="275" t="s">
        <v>10</v>
      </c>
      <c r="G42" s="271">
        <v>225</v>
      </c>
      <c r="H42" s="272">
        <v>0</v>
      </c>
      <c r="I42" s="272"/>
      <c r="J42" s="182">
        <f t="shared" si="3"/>
        <v>0</v>
      </c>
      <c r="K42" s="276"/>
      <c r="L42" s="276"/>
      <c r="M42" s="276"/>
      <c r="N42" s="276"/>
      <c r="O42" s="276"/>
      <c r="P42" s="276"/>
      <c r="Q42" s="276"/>
      <c r="R42" s="276"/>
      <c r="S42" s="276"/>
      <c r="T42" s="276"/>
      <c r="U42" s="276"/>
      <c r="V42" s="276"/>
      <c r="W42" s="276"/>
      <c r="X42" s="276"/>
      <c r="Y42" s="276"/>
      <c r="Z42" s="276"/>
      <c r="AA42" s="276"/>
      <c r="AB42" s="276"/>
      <c r="AC42" s="276"/>
      <c r="AD42" s="276"/>
      <c r="AE42" s="276"/>
      <c r="AF42" s="276"/>
      <c r="AG42" s="276"/>
      <c r="AH42" s="276"/>
      <c r="AI42" s="276"/>
      <c r="AJ42" s="276"/>
      <c r="AK42" s="276"/>
      <c r="AL42" s="276"/>
      <c r="AM42" s="276"/>
      <c r="AN42" s="276"/>
      <c r="AO42" s="276"/>
      <c r="AP42" s="182">
        <f t="shared" si="4"/>
        <v>0</v>
      </c>
      <c r="AQ42" s="182">
        <f t="shared" si="5"/>
        <v>0</v>
      </c>
      <c r="AR42" s="182">
        <f t="shared" si="6"/>
        <v>0</v>
      </c>
      <c r="AS42" s="182">
        <f t="shared" si="7"/>
        <v>0</v>
      </c>
      <c r="AT42" s="182">
        <f t="shared" si="8"/>
        <v>0</v>
      </c>
      <c r="AU42" s="174"/>
      <c r="AV42" s="174"/>
      <c r="AW42" s="182">
        <f t="shared" si="9"/>
        <v>0</v>
      </c>
      <c r="AX42" s="179"/>
    </row>
    <row r="43" spans="2:50" s="149" customFormat="1">
      <c r="B43" s="278">
        <v>38</v>
      </c>
      <c r="C43" s="267" t="s">
        <v>271</v>
      </c>
      <c r="D43" s="273" t="s">
        <v>140</v>
      </c>
      <c r="E43" s="273" t="s">
        <v>416</v>
      </c>
      <c r="F43" s="275" t="s">
        <v>10</v>
      </c>
      <c r="G43" s="271">
        <v>265</v>
      </c>
      <c r="H43" s="272">
        <v>2</v>
      </c>
      <c r="I43" s="272"/>
      <c r="J43" s="182">
        <f t="shared" si="3"/>
        <v>2</v>
      </c>
      <c r="K43" s="276"/>
      <c r="L43" s="276">
        <v>1</v>
      </c>
      <c r="M43" s="276"/>
      <c r="N43" s="276"/>
      <c r="O43" s="276"/>
      <c r="P43" s="276"/>
      <c r="Q43" s="276"/>
      <c r="R43" s="276"/>
      <c r="S43" s="276"/>
      <c r="T43" s="276"/>
      <c r="U43" s="276"/>
      <c r="V43" s="276"/>
      <c r="W43" s="276"/>
      <c r="X43" s="276"/>
      <c r="Y43" s="276"/>
      <c r="Z43" s="276"/>
      <c r="AA43" s="276"/>
      <c r="AB43" s="276"/>
      <c r="AC43" s="276"/>
      <c r="AD43" s="276"/>
      <c r="AE43" s="276"/>
      <c r="AF43" s="276"/>
      <c r="AG43" s="276"/>
      <c r="AH43" s="276"/>
      <c r="AI43" s="276"/>
      <c r="AJ43" s="276"/>
      <c r="AK43" s="276"/>
      <c r="AL43" s="276"/>
      <c r="AM43" s="276"/>
      <c r="AN43" s="276"/>
      <c r="AO43" s="276"/>
      <c r="AP43" s="182">
        <f t="shared" si="4"/>
        <v>1</v>
      </c>
      <c r="AQ43" s="182">
        <f t="shared" si="5"/>
        <v>1</v>
      </c>
      <c r="AR43" s="182">
        <f t="shared" si="6"/>
        <v>265</v>
      </c>
      <c r="AS43" s="182">
        <f t="shared" si="7"/>
        <v>265</v>
      </c>
      <c r="AT43" s="182">
        <f t="shared" si="8"/>
        <v>0</v>
      </c>
      <c r="AU43" s="174"/>
      <c r="AV43" s="174"/>
      <c r="AW43" s="182">
        <f t="shared" si="9"/>
        <v>0</v>
      </c>
      <c r="AX43" s="179"/>
    </row>
    <row r="44" spans="2:50" s="149" customFormat="1">
      <c r="B44" s="278">
        <v>39</v>
      </c>
      <c r="C44" s="267" t="s">
        <v>271</v>
      </c>
      <c r="D44" s="273" t="s">
        <v>141</v>
      </c>
      <c r="E44" s="273" t="s">
        <v>422</v>
      </c>
      <c r="F44" s="275" t="s">
        <v>12</v>
      </c>
      <c r="G44" s="271">
        <v>195</v>
      </c>
      <c r="H44" s="272">
        <v>0</v>
      </c>
      <c r="I44" s="272"/>
      <c r="J44" s="182">
        <f t="shared" si="3"/>
        <v>0</v>
      </c>
      <c r="K44" s="276"/>
      <c r="L44" s="276"/>
      <c r="M44" s="276"/>
      <c r="N44" s="276"/>
      <c r="O44" s="276"/>
      <c r="P44" s="276"/>
      <c r="Q44" s="276"/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6"/>
      <c r="AC44" s="276"/>
      <c r="AD44" s="276"/>
      <c r="AE44" s="276"/>
      <c r="AF44" s="276"/>
      <c r="AG44" s="276"/>
      <c r="AH44" s="276"/>
      <c r="AI44" s="276"/>
      <c r="AJ44" s="276"/>
      <c r="AK44" s="276"/>
      <c r="AL44" s="276"/>
      <c r="AM44" s="276"/>
      <c r="AN44" s="276"/>
      <c r="AO44" s="276"/>
      <c r="AP44" s="182">
        <f t="shared" si="4"/>
        <v>0</v>
      </c>
      <c r="AQ44" s="182">
        <f t="shared" si="5"/>
        <v>0</v>
      </c>
      <c r="AR44" s="182">
        <f t="shared" si="6"/>
        <v>0</v>
      </c>
      <c r="AS44" s="182">
        <f t="shared" si="7"/>
        <v>0</v>
      </c>
      <c r="AT44" s="182">
        <f t="shared" si="8"/>
        <v>0</v>
      </c>
      <c r="AU44" s="174"/>
      <c r="AV44" s="174"/>
      <c r="AW44" s="182">
        <f t="shared" si="9"/>
        <v>0</v>
      </c>
      <c r="AX44" s="179"/>
    </row>
    <row r="45" spans="2:50" s="149" customFormat="1">
      <c r="B45" s="278">
        <v>40</v>
      </c>
      <c r="C45" s="267" t="s">
        <v>271</v>
      </c>
      <c r="D45" s="273" t="s">
        <v>142</v>
      </c>
      <c r="E45" s="273" t="s">
        <v>423</v>
      </c>
      <c r="F45" s="275" t="s">
        <v>59</v>
      </c>
      <c r="G45" s="271">
        <v>175</v>
      </c>
      <c r="H45" s="272">
        <v>0</v>
      </c>
      <c r="I45" s="272">
        <v>1</v>
      </c>
      <c r="J45" s="182">
        <f t="shared" si="3"/>
        <v>1</v>
      </c>
      <c r="K45" s="276"/>
      <c r="L45" s="276"/>
      <c r="M45" s="276"/>
      <c r="N45" s="276"/>
      <c r="O45" s="276"/>
      <c r="P45" s="276"/>
      <c r="Q45" s="276"/>
      <c r="R45" s="276"/>
      <c r="S45" s="276"/>
      <c r="T45" s="276"/>
      <c r="U45" s="276"/>
      <c r="V45" s="276"/>
      <c r="W45" s="276"/>
      <c r="X45" s="276"/>
      <c r="Y45" s="276"/>
      <c r="Z45" s="276"/>
      <c r="AA45" s="276"/>
      <c r="AB45" s="276"/>
      <c r="AC45" s="276"/>
      <c r="AD45" s="276"/>
      <c r="AE45" s="276"/>
      <c r="AF45" s="276"/>
      <c r="AG45" s="276"/>
      <c r="AH45" s="276"/>
      <c r="AI45" s="276"/>
      <c r="AJ45" s="276"/>
      <c r="AK45" s="276"/>
      <c r="AL45" s="276"/>
      <c r="AM45" s="276"/>
      <c r="AN45" s="276"/>
      <c r="AO45" s="276"/>
      <c r="AP45" s="182">
        <f t="shared" si="4"/>
        <v>0</v>
      </c>
      <c r="AQ45" s="182">
        <f t="shared" si="5"/>
        <v>1</v>
      </c>
      <c r="AR45" s="182">
        <f t="shared" si="6"/>
        <v>0</v>
      </c>
      <c r="AS45" s="182">
        <f t="shared" si="7"/>
        <v>175</v>
      </c>
      <c r="AT45" s="182">
        <f t="shared" si="8"/>
        <v>175</v>
      </c>
      <c r="AU45" s="174"/>
      <c r="AV45" s="174"/>
      <c r="AW45" s="182">
        <f t="shared" si="9"/>
        <v>175</v>
      </c>
      <c r="AX45" s="179"/>
    </row>
    <row r="46" spans="2:50" s="149" customFormat="1">
      <c r="B46" s="278">
        <v>41</v>
      </c>
      <c r="C46" s="267" t="s">
        <v>271</v>
      </c>
      <c r="D46" s="273" t="s">
        <v>143</v>
      </c>
      <c r="E46" s="273" t="s">
        <v>422</v>
      </c>
      <c r="F46" s="275" t="s">
        <v>10</v>
      </c>
      <c r="G46" s="271">
        <v>32</v>
      </c>
      <c r="H46" s="272">
        <v>0</v>
      </c>
      <c r="I46" s="272"/>
      <c r="J46" s="182">
        <f t="shared" si="3"/>
        <v>0</v>
      </c>
      <c r="K46" s="276"/>
      <c r="L46" s="276"/>
      <c r="M46" s="276"/>
      <c r="N46" s="276"/>
      <c r="O46" s="276"/>
      <c r="P46" s="276"/>
      <c r="Q46" s="276"/>
      <c r="R46" s="276"/>
      <c r="S46" s="276"/>
      <c r="T46" s="276"/>
      <c r="U46" s="276"/>
      <c r="V46" s="276"/>
      <c r="W46" s="276"/>
      <c r="X46" s="276"/>
      <c r="Y46" s="276"/>
      <c r="Z46" s="276"/>
      <c r="AA46" s="276"/>
      <c r="AB46" s="276"/>
      <c r="AC46" s="276"/>
      <c r="AD46" s="276"/>
      <c r="AE46" s="276"/>
      <c r="AF46" s="276"/>
      <c r="AG46" s="276"/>
      <c r="AH46" s="276"/>
      <c r="AI46" s="276"/>
      <c r="AJ46" s="276"/>
      <c r="AK46" s="276"/>
      <c r="AL46" s="276"/>
      <c r="AM46" s="276"/>
      <c r="AN46" s="276"/>
      <c r="AO46" s="276"/>
      <c r="AP46" s="182">
        <f t="shared" si="4"/>
        <v>0</v>
      </c>
      <c r="AQ46" s="182">
        <f t="shared" si="5"/>
        <v>0</v>
      </c>
      <c r="AR46" s="182">
        <f t="shared" si="6"/>
        <v>0</v>
      </c>
      <c r="AS46" s="182">
        <f t="shared" si="7"/>
        <v>0</v>
      </c>
      <c r="AT46" s="182">
        <f t="shared" si="8"/>
        <v>0</v>
      </c>
      <c r="AU46" s="174"/>
      <c r="AV46" s="174"/>
      <c r="AW46" s="182">
        <f t="shared" si="9"/>
        <v>0</v>
      </c>
      <c r="AX46" s="179"/>
    </row>
    <row r="47" spans="2:50" s="149" customFormat="1">
      <c r="B47" s="278">
        <v>42</v>
      </c>
      <c r="C47" s="267" t="s">
        <v>271</v>
      </c>
      <c r="D47" s="273" t="s">
        <v>144</v>
      </c>
      <c r="E47" s="273" t="s">
        <v>424</v>
      </c>
      <c r="F47" s="275" t="s">
        <v>10</v>
      </c>
      <c r="G47" s="271">
        <v>30</v>
      </c>
      <c r="H47" s="272">
        <v>2</v>
      </c>
      <c r="I47" s="272">
        <v>6</v>
      </c>
      <c r="J47" s="182">
        <f t="shared" si="3"/>
        <v>8</v>
      </c>
      <c r="K47" s="276"/>
      <c r="L47" s="276">
        <v>1</v>
      </c>
      <c r="M47" s="276"/>
      <c r="N47" s="276"/>
      <c r="O47" s="276"/>
      <c r="P47" s="276"/>
      <c r="Q47" s="276"/>
      <c r="R47" s="276">
        <v>1</v>
      </c>
      <c r="S47" s="276"/>
      <c r="T47" s="276"/>
      <c r="U47" s="276"/>
      <c r="V47" s="276"/>
      <c r="W47" s="276"/>
      <c r="X47" s="276"/>
      <c r="Y47" s="276"/>
      <c r="Z47" s="276"/>
      <c r="AA47" s="276"/>
      <c r="AB47" s="276"/>
      <c r="AC47" s="276"/>
      <c r="AD47" s="276"/>
      <c r="AE47" s="276"/>
      <c r="AF47" s="276"/>
      <c r="AG47" s="276"/>
      <c r="AH47" s="276"/>
      <c r="AI47" s="276"/>
      <c r="AJ47" s="276"/>
      <c r="AK47" s="276"/>
      <c r="AL47" s="276"/>
      <c r="AM47" s="276"/>
      <c r="AN47" s="276"/>
      <c r="AO47" s="276"/>
      <c r="AP47" s="182">
        <f t="shared" si="4"/>
        <v>2</v>
      </c>
      <c r="AQ47" s="182">
        <f t="shared" si="5"/>
        <v>6</v>
      </c>
      <c r="AR47" s="182">
        <f t="shared" si="6"/>
        <v>60</v>
      </c>
      <c r="AS47" s="182">
        <f t="shared" si="7"/>
        <v>180</v>
      </c>
      <c r="AT47" s="182">
        <f t="shared" si="8"/>
        <v>180</v>
      </c>
      <c r="AU47" s="174"/>
      <c r="AV47" s="174"/>
      <c r="AW47" s="182">
        <f t="shared" si="9"/>
        <v>180</v>
      </c>
      <c r="AX47" s="179"/>
    </row>
    <row r="48" spans="2:50" s="149" customFormat="1">
      <c r="B48" s="278">
        <v>43</v>
      </c>
      <c r="C48" s="267" t="s">
        <v>271</v>
      </c>
      <c r="D48" s="273" t="s">
        <v>145</v>
      </c>
      <c r="E48" s="273" t="s">
        <v>360</v>
      </c>
      <c r="F48" s="275" t="s">
        <v>10</v>
      </c>
      <c r="G48" s="271">
        <v>14</v>
      </c>
      <c r="H48" s="272">
        <v>0</v>
      </c>
      <c r="I48" s="272"/>
      <c r="J48" s="182">
        <f t="shared" si="3"/>
        <v>0</v>
      </c>
      <c r="K48" s="276"/>
      <c r="L48" s="276"/>
      <c r="M48" s="276"/>
      <c r="N48" s="276"/>
      <c r="O48" s="276"/>
      <c r="P48" s="276"/>
      <c r="Q48" s="276"/>
      <c r="R48" s="276"/>
      <c r="S48" s="276"/>
      <c r="T48" s="276"/>
      <c r="U48" s="276"/>
      <c r="V48" s="276"/>
      <c r="W48" s="276"/>
      <c r="X48" s="276"/>
      <c r="Y48" s="276"/>
      <c r="Z48" s="276"/>
      <c r="AA48" s="276"/>
      <c r="AB48" s="276"/>
      <c r="AC48" s="276"/>
      <c r="AD48" s="276"/>
      <c r="AE48" s="276"/>
      <c r="AF48" s="276"/>
      <c r="AG48" s="276"/>
      <c r="AH48" s="276"/>
      <c r="AI48" s="276"/>
      <c r="AJ48" s="276"/>
      <c r="AK48" s="276"/>
      <c r="AL48" s="276"/>
      <c r="AM48" s="276"/>
      <c r="AN48" s="276"/>
      <c r="AO48" s="276"/>
      <c r="AP48" s="182">
        <f t="shared" si="4"/>
        <v>0</v>
      </c>
      <c r="AQ48" s="182">
        <f t="shared" si="5"/>
        <v>0</v>
      </c>
      <c r="AR48" s="182">
        <f t="shared" si="6"/>
        <v>0</v>
      </c>
      <c r="AS48" s="182">
        <f t="shared" si="7"/>
        <v>0</v>
      </c>
      <c r="AT48" s="182">
        <f t="shared" si="8"/>
        <v>0</v>
      </c>
      <c r="AU48" s="174"/>
      <c r="AV48" s="174"/>
      <c r="AW48" s="182">
        <f t="shared" si="9"/>
        <v>0</v>
      </c>
      <c r="AX48" s="179"/>
    </row>
    <row r="49" spans="2:50" s="149" customFormat="1">
      <c r="B49" s="278">
        <v>44</v>
      </c>
      <c r="C49" s="267" t="s">
        <v>271</v>
      </c>
      <c r="D49" s="273" t="s">
        <v>392</v>
      </c>
      <c r="E49" s="273" t="s">
        <v>425</v>
      </c>
      <c r="F49" s="275" t="s">
        <v>12</v>
      </c>
      <c r="G49" s="271">
        <v>55</v>
      </c>
      <c r="H49" s="272">
        <v>177</v>
      </c>
      <c r="I49" s="272">
        <v>300</v>
      </c>
      <c r="J49" s="182">
        <f t="shared" si="3"/>
        <v>477</v>
      </c>
      <c r="K49" s="276"/>
      <c r="L49" s="276">
        <v>9</v>
      </c>
      <c r="M49" s="276">
        <v>13</v>
      </c>
      <c r="N49" s="276">
        <v>10</v>
      </c>
      <c r="O49" s="276">
        <v>11</v>
      </c>
      <c r="P49" s="276">
        <v>13</v>
      </c>
      <c r="Q49" s="276">
        <v>6</v>
      </c>
      <c r="R49" s="276"/>
      <c r="S49" s="276">
        <v>9</v>
      </c>
      <c r="T49" s="276">
        <v>10</v>
      </c>
      <c r="U49" s="276">
        <v>7</v>
      </c>
      <c r="V49" s="276">
        <v>10</v>
      </c>
      <c r="W49" s="276">
        <v>12</v>
      </c>
      <c r="X49" s="276"/>
      <c r="Y49" s="276"/>
      <c r="Z49" s="276">
        <v>16</v>
      </c>
      <c r="AA49" s="276">
        <v>14</v>
      </c>
      <c r="AB49" s="276"/>
      <c r="AC49" s="276"/>
      <c r="AD49" s="276"/>
      <c r="AE49" s="276"/>
      <c r="AF49" s="276"/>
      <c r="AG49" s="276"/>
      <c r="AH49" s="276"/>
      <c r="AI49" s="276"/>
      <c r="AJ49" s="276"/>
      <c r="AK49" s="276"/>
      <c r="AL49" s="276"/>
      <c r="AM49" s="276"/>
      <c r="AN49" s="276"/>
      <c r="AO49" s="276"/>
      <c r="AP49" s="182">
        <f t="shared" si="4"/>
        <v>140</v>
      </c>
      <c r="AQ49" s="182">
        <f t="shared" si="5"/>
        <v>337</v>
      </c>
      <c r="AR49" s="182">
        <f t="shared" si="6"/>
        <v>7700</v>
      </c>
      <c r="AS49" s="182">
        <f t="shared" si="7"/>
        <v>18535</v>
      </c>
      <c r="AT49" s="182">
        <f t="shared" si="8"/>
        <v>16500</v>
      </c>
      <c r="AU49" s="174"/>
      <c r="AV49" s="174"/>
      <c r="AW49" s="182">
        <f t="shared" si="9"/>
        <v>16500</v>
      </c>
      <c r="AX49" s="179"/>
    </row>
    <row r="50" spans="2:50" s="149" customFormat="1">
      <c r="B50" s="278">
        <v>45</v>
      </c>
      <c r="C50" s="267" t="s">
        <v>271</v>
      </c>
      <c r="D50" s="273" t="s">
        <v>146</v>
      </c>
      <c r="E50" s="273" t="s">
        <v>417</v>
      </c>
      <c r="F50" s="275" t="s">
        <v>161</v>
      </c>
      <c r="G50" s="271">
        <v>1850</v>
      </c>
      <c r="H50" s="272">
        <v>0</v>
      </c>
      <c r="I50" s="272"/>
      <c r="J50" s="182">
        <f t="shared" si="3"/>
        <v>0</v>
      </c>
      <c r="K50" s="276"/>
      <c r="L50" s="276"/>
      <c r="M50" s="276"/>
      <c r="N50" s="276"/>
      <c r="O50" s="276"/>
      <c r="P50" s="276"/>
      <c r="Q50" s="276"/>
      <c r="R50" s="276"/>
      <c r="S50" s="276"/>
      <c r="T50" s="276"/>
      <c r="U50" s="276"/>
      <c r="V50" s="276"/>
      <c r="W50" s="276"/>
      <c r="X50" s="276"/>
      <c r="Y50" s="276"/>
      <c r="Z50" s="276"/>
      <c r="AA50" s="276"/>
      <c r="AB50" s="276"/>
      <c r="AC50" s="276"/>
      <c r="AD50" s="276"/>
      <c r="AE50" s="276"/>
      <c r="AF50" s="276"/>
      <c r="AG50" s="276"/>
      <c r="AH50" s="276"/>
      <c r="AI50" s="276"/>
      <c r="AJ50" s="276"/>
      <c r="AK50" s="276"/>
      <c r="AL50" s="276"/>
      <c r="AM50" s="276"/>
      <c r="AN50" s="276"/>
      <c r="AO50" s="276"/>
      <c r="AP50" s="182">
        <f t="shared" si="4"/>
        <v>0</v>
      </c>
      <c r="AQ50" s="182">
        <f t="shared" si="5"/>
        <v>0</v>
      </c>
      <c r="AR50" s="182">
        <f t="shared" si="6"/>
        <v>0</v>
      </c>
      <c r="AS50" s="182">
        <f t="shared" si="7"/>
        <v>0</v>
      </c>
      <c r="AT50" s="182">
        <f t="shared" si="8"/>
        <v>0</v>
      </c>
      <c r="AU50" s="174"/>
      <c r="AV50" s="174"/>
      <c r="AW50" s="182">
        <f t="shared" si="9"/>
        <v>0</v>
      </c>
      <c r="AX50" s="179"/>
    </row>
    <row r="51" spans="2:50" s="149" customFormat="1">
      <c r="B51" s="278">
        <v>46</v>
      </c>
      <c r="C51" s="267" t="s">
        <v>271</v>
      </c>
      <c r="D51" s="273" t="s">
        <v>393</v>
      </c>
      <c r="E51" s="273" t="s">
        <v>360</v>
      </c>
      <c r="F51" s="275" t="s">
        <v>59</v>
      </c>
      <c r="G51" s="271">
        <v>300</v>
      </c>
      <c r="H51" s="272">
        <v>0</v>
      </c>
      <c r="I51" s="272"/>
      <c r="J51" s="182">
        <f t="shared" si="3"/>
        <v>0</v>
      </c>
      <c r="K51" s="276"/>
      <c r="L51" s="276"/>
      <c r="M51" s="276"/>
      <c r="N51" s="276"/>
      <c r="O51" s="276"/>
      <c r="P51" s="276"/>
      <c r="Q51" s="276"/>
      <c r="R51" s="276"/>
      <c r="S51" s="276"/>
      <c r="T51" s="276"/>
      <c r="U51" s="276"/>
      <c r="V51" s="276"/>
      <c r="W51" s="276"/>
      <c r="X51" s="276"/>
      <c r="Y51" s="276"/>
      <c r="Z51" s="276"/>
      <c r="AA51" s="276"/>
      <c r="AB51" s="276"/>
      <c r="AC51" s="276"/>
      <c r="AD51" s="276"/>
      <c r="AE51" s="276"/>
      <c r="AF51" s="276"/>
      <c r="AG51" s="276"/>
      <c r="AH51" s="276"/>
      <c r="AI51" s="276"/>
      <c r="AJ51" s="276"/>
      <c r="AK51" s="276"/>
      <c r="AL51" s="276"/>
      <c r="AM51" s="276"/>
      <c r="AN51" s="276"/>
      <c r="AO51" s="276"/>
      <c r="AP51" s="182">
        <f t="shared" si="4"/>
        <v>0</v>
      </c>
      <c r="AQ51" s="182">
        <f t="shared" si="5"/>
        <v>0</v>
      </c>
      <c r="AR51" s="182">
        <f t="shared" si="6"/>
        <v>0</v>
      </c>
      <c r="AS51" s="182">
        <f t="shared" si="7"/>
        <v>0</v>
      </c>
      <c r="AT51" s="182">
        <f t="shared" si="8"/>
        <v>0</v>
      </c>
      <c r="AU51" s="174"/>
      <c r="AV51" s="174"/>
      <c r="AW51" s="182">
        <f t="shared" si="9"/>
        <v>0</v>
      </c>
      <c r="AX51" s="179"/>
    </row>
    <row r="52" spans="2:50" s="149" customFormat="1">
      <c r="B52" s="278">
        <v>47</v>
      </c>
      <c r="C52" s="267" t="s">
        <v>271</v>
      </c>
      <c r="D52" s="273" t="s">
        <v>147</v>
      </c>
      <c r="E52" s="273" t="s">
        <v>360</v>
      </c>
      <c r="F52" s="275" t="s">
        <v>10</v>
      </c>
      <c r="G52" s="271">
        <v>80</v>
      </c>
      <c r="H52" s="272">
        <v>9</v>
      </c>
      <c r="I52" s="272"/>
      <c r="J52" s="182">
        <f t="shared" si="3"/>
        <v>9</v>
      </c>
      <c r="K52" s="276"/>
      <c r="L52" s="276"/>
      <c r="M52" s="276"/>
      <c r="N52" s="276"/>
      <c r="O52" s="276"/>
      <c r="P52" s="276"/>
      <c r="Q52" s="276"/>
      <c r="R52" s="276"/>
      <c r="S52" s="276"/>
      <c r="T52" s="276"/>
      <c r="U52" s="276"/>
      <c r="V52" s="276"/>
      <c r="W52" s="276"/>
      <c r="X52" s="276"/>
      <c r="Y52" s="276"/>
      <c r="Z52" s="276"/>
      <c r="AA52" s="276"/>
      <c r="AB52" s="276"/>
      <c r="AC52" s="276"/>
      <c r="AD52" s="276"/>
      <c r="AE52" s="276"/>
      <c r="AF52" s="276"/>
      <c r="AG52" s="276"/>
      <c r="AH52" s="276"/>
      <c r="AI52" s="276"/>
      <c r="AJ52" s="276"/>
      <c r="AK52" s="276"/>
      <c r="AL52" s="276"/>
      <c r="AM52" s="276"/>
      <c r="AN52" s="276"/>
      <c r="AO52" s="276"/>
      <c r="AP52" s="182">
        <f t="shared" si="4"/>
        <v>0</v>
      </c>
      <c r="AQ52" s="182">
        <f t="shared" si="5"/>
        <v>9</v>
      </c>
      <c r="AR52" s="182">
        <f t="shared" si="6"/>
        <v>0</v>
      </c>
      <c r="AS52" s="182">
        <f t="shared" si="7"/>
        <v>720</v>
      </c>
      <c r="AT52" s="182">
        <f t="shared" si="8"/>
        <v>0</v>
      </c>
      <c r="AU52" s="174"/>
      <c r="AV52" s="174"/>
      <c r="AW52" s="182">
        <f t="shared" si="9"/>
        <v>0</v>
      </c>
      <c r="AX52" s="179"/>
    </row>
    <row r="53" spans="2:50" s="149" customFormat="1">
      <c r="B53" s="278">
        <v>48</v>
      </c>
      <c r="C53" s="267" t="s">
        <v>271</v>
      </c>
      <c r="D53" s="273" t="s">
        <v>148</v>
      </c>
      <c r="E53" s="273" t="s">
        <v>360</v>
      </c>
      <c r="F53" s="275" t="s">
        <v>10</v>
      </c>
      <c r="G53" s="271">
        <v>350</v>
      </c>
      <c r="H53" s="272">
        <v>0</v>
      </c>
      <c r="I53" s="272"/>
      <c r="J53" s="182">
        <f t="shared" si="3"/>
        <v>0</v>
      </c>
      <c r="K53" s="276"/>
      <c r="L53" s="276"/>
      <c r="M53" s="276"/>
      <c r="N53" s="276"/>
      <c r="O53" s="276"/>
      <c r="P53" s="276"/>
      <c r="Q53" s="276"/>
      <c r="R53" s="276"/>
      <c r="S53" s="276"/>
      <c r="T53" s="276"/>
      <c r="U53" s="276"/>
      <c r="V53" s="276"/>
      <c r="W53" s="276"/>
      <c r="X53" s="276"/>
      <c r="Y53" s="276"/>
      <c r="Z53" s="276"/>
      <c r="AA53" s="276"/>
      <c r="AB53" s="276"/>
      <c r="AC53" s="276"/>
      <c r="AD53" s="276"/>
      <c r="AE53" s="276"/>
      <c r="AF53" s="276"/>
      <c r="AG53" s="276"/>
      <c r="AH53" s="276"/>
      <c r="AI53" s="276"/>
      <c r="AJ53" s="276"/>
      <c r="AK53" s="276"/>
      <c r="AL53" s="276"/>
      <c r="AM53" s="276"/>
      <c r="AN53" s="276"/>
      <c r="AO53" s="276"/>
      <c r="AP53" s="182">
        <f t="shared" si="4"/>
        <v>0</v>
      </c>
      <c r="AQ53" s="182">
        <f t="shared" si="5"/>
        <v>0</v>
      </c>
      <c r="AR53" s="182">
        <f t="shared" si="6"/>
        <v>0</v>
      </c>
      <c r="AS53" s="182">
        <f t="shared" si="7"/>
        <v>0</v>
      </c>
      <c r="AT53" s="182">
        <f t="shared" si="8"/>
        <v>0</v>
      </c>
      <c r="AU53" s="174"/>
      <c r="AV53" s="174"/>
      <c r="AW53" s="182">
        <f t="shared" si="9"/>
        <v>0</v>
      </c>
      <c r="AX53" s="179"/>
    </row>
    <row r="54" spans="2:50" s="149" customFormat="1">
      <c r="B54" s="278">
        <v>49</v>
      </c>
      <c r="C54" s="267" t="s">
        <v>271</v>
      </c>
      <c r="D54" s="280" t="s">
        <v>447</v>
      </c>
      <c r="E54" s="273" t="s">
        <v>360</v>
      </c>
      <c r="F54" s="275" t="s">
        <v>10</v>
      </c>
      <c r="G54" s="271">
        <v>35</v>
      </c>
      <c r="H54" s="272">
        <v>1</v>
      </c>
      <c r="I54" s="272"/>
      <c r="J54" s="182">
        <f t="shared" si="3"/>
        <v>1</v>
      </c>
      <c r="K54" s="276"/>
      <c r="L54" s="276"/>
      <c r="M54" s="276"/>
      <c r="N54" s="276"/>
      <c r="O54" s="276"/>
      <c r="P54" s="276"/>
      <c r="Q54" s="276"/>
      <c r="R54" s="276"/>
      <c r="S54" s="276"/>
      <c r="T54" s="276"/>
      <c r="U54" s="276"/>
      <c r="V54" s="276"/>
      <c r="W54" s="276"/>
      <c r="X54" s="276"/>
      <c r="Y54" s="276"/>
      <c r="Z54" s="276"/>
      <c r="AA54" s="276"/>
      <c r="AB54" s="276"/>
      <c r="AC54" s="276"/>
      <c r="AD54" s="276"/>
      <c r="AE54" s="276"/>
      <c r="AF54" s="276"/>
      <c r="AG54" s="276"/>
      <c r="AH54" s="276"/>
      <c r="AI54" s="276"/>
      <c r="AJ54" s="276"/>
      <c r="AK54" s="276"/>
      <c r="AL54" s="276"/>
      <c r="AM54" s="276"/>
      <c r="AN54" s="276"/>
      <c r="AO54" s="276"/>
      <c r="AP54" s="182">
        <f t="shared" si="4"/>
        <v>0</v>
      </c>
      <c r="AQ54" s="182">
        <f t="shared" si="5"/>
        <v>1</v>
      </c>
      <c r="AR54" s="182">
        <f t="shared" si="6"/>
        <v>0</v>
      </c>
      <c r="AS54" s="182">
        <f t="shared" si="7"/>
        <v>35</v>
      </c>
      <c r="AT54" s="182">
        <f t="shared" si="8"/>
        <v>0</v>
      </c>
      <c r="AU54" s="174"/>
      <c r="AV54" s="174"/>
      <c r="AW54" s="182">
        <f t="shared" si="9"/>
        <v>0</v>
      </c>
      <c r="AX54" s="179"/>
    </row>
    <row r="55" spans="2:50" s="149" customFormat="1">
      <c r="B55" s="278">
        <v>50</v>
      </c>
      <c r="C55" s="267" t="s">
        <v>271</v>
      </c>
      <c r="D55" s="280" t="s">
        <v>448</v>
      </c>
      <c r="E55" s="273" t="s">
        <v>360</v>
      </c>
      <c r="F55" s="275" t="s">
        <v>10</v>
      </c>
      <c r="G55" s="271">
        <v>45</v>
      </c>
      <c r="H55" s="272">
        <v>4</v>
      </c>
      <c r="I55" s="272"/>
      <c r="J55" s="182">
        <f t="shared" si="3"/>
        <v>4</v>
      </c>
      <c r="K55" s="276"/>
      <c r="L55" s="276"/>
      <c r="M55" s="276"/>
      <c r="N55" s="276"/>
      <c r="O55" s="276"/>
      <c r="P55" s="276"/>
      <c r="Q55" s="276"/>
      <c r="R55" s="276"/>
      <c r="S55" s="276"/>
      <c r="T55" s="276"/>
      <c r="U55" s="276"/>
      <c r="V55" s="276"/>
      <c r="W55" s="276"/>
      <c r="X55" s="276"/>
      <c r="Y55" s="276"/>
      <c r="Z55" s="276"/>
      <c r="AA55" s="276"/>
      <c r="AB55" s="276"/>
      <c r="AC55" s="276"/>
      <c r="AD55" s="276"/>
      <c r="AE55" s="276"/>
      <c r="AF55" s="276"/>
      <c r="AG55" s="276"/>
      <c r="AH55" s="276"/>
      <c r="AI55" s="276"/>
      <c r="AJ55" s="276"/>
      <c r="AK55" s="276"/>
      <c r="AL55" s="276"/>
      <c r="AM55" s="276"/>
      <c r="AN55" s="276"/>
      <c r="AO55" s="276"/>
      <c r="AP55" s="182">
        <f t="shared" si="4"/>
        <v>0</v>
      </c>
      <c r="AQ55" s="182">
        <f t="shared" si="5"/>
        <v>4</v>
      </c>
      <c r="AR55" s="182">
        <f t="shared" si="6"/>
        <v>0</v>
      </c>
      <c r="AS55" s="182">
        <f t="shared" si="7"/>
        <v>180</v>
      </c>
      <c r="AT55" s="182">
        <f t="shared" si="8"/>
        <v>0</v>
      </c>
      <c r="AU55" s="174"/>
      <c r="AV55" s="174"/>
      <c r="AW55" s="182">
        <f t="shared" si="9"/>
        <v>0</v>
      </c>
      <c r="AX55" s="179"/>
    </row>
    <row r="56" spans="2:50" s="149" customFormat="1">
      <c r="B56" s="278">
        <v>51</v>
      </c>
      <c r="C56" s="267" t="s">
        <v>271</v>
      </c>
      <c r="D56" s="273" t="s">
        <v>394</v>
      </c>
      <c r="E56" s="273" t="s">
        <v>417</v>
      </c>
      <c r="F56" s="275" t="s">
        <v>162</v>
      </c>
      <c r="G56" s="271">
        <v>1150</v>
      </c>
      <c r="H56" s="272">
        <v>0</v>
      </c>
      <c r="I56" s="272"/>
      <c r="J56" s="182">
        <f t="shared" si="3"/>
        <v>0</v>
      </c>
      <c r="K56" s="276"/>
      <c r="L56" s="276"/>
      <c r="M56" s="276"/>
      <c r="N56" s="276"/>
      <c r="O56" s="276"/>
      <c r="P56" s="276"/>
      <c r="Q56" s="276"/>
      <c r="R56" s="276"/>
      <c r="S56" s="276"/>
      <c r="T56" s="276"/>
      <c r="U56" s="276"/>
      <c r="V56" s="276"/>
      <c r="W56" s="276"/>
      <c r="X56" s="276"/>
      <c r="Y56" s="276"/>
      <c r="Z56" s="276"/>
      <c r="AA56" s="276"/>
      <c r="AB56" s="276"/>
      <c r="AC56" s="276"/>
      <c r="AD56" s="276"/>
      <c r="AE56" s="276"/>
      <c r="AF56" s="276"/>
      <c r="AG56" s="276"/>
      <c r="AH56" s="276"/>
      <c r="AI56" s="276"/>
      <c r="AJ56" s="276"/>
      <c r="AK56" s="276"/>
      <c r="AL56" s="276"/>
      <c r="AM56" s="276"/>
      <c r="AN56" s="276"/>
      <c r="AO56" s="276"/>
      <c r="AP56" s="182">
        <f t="shared" si="4"/>
        <v>0</v>
      </c>
      <c r="AQ56" s="182">
        <f t="shared" si="5"/>
        <v>0</v>
      </c>
      <c r="AR56" s="182">
        <f t="shared" si="6"/>
        <v>0</v>
      </c>
      <c r="AS56" s="182">
        <f t="shared" si="7"/>
        <v>0</v>
      </c>
      <c r="AT56" s="182">
        <f t="shared" si="8"/>
        <v>0</v>
      </c>
      <c r="AU56" s="174"/>
      <c r="AV56" s="174"/>
      <c r="AW56" s="182">
        <f t="shared" si="9"/>
        <v>0</v>
      </c>
      <c r="AX56" s="179"/>
    </row>
    <row r="57" spans="2:50" s="149" customFormat="1">
      <c r="B57" s="278">
        <v>52</v>
      </c>
      <c r="C57" s="267" t="s">
        <v>271</v>
      </c>
      <c r="D57" s="273" t="s">
        <v>395</v>
      </c>
      <c r="E57" s="273" t="s">
        <v>360</v>
      </c>
      <c r="F57" s="275" t="s">
        <v>10</v>
      </c>
      <c r="G57" s="271">
        <v>5</v>
      </c>
      <c r="H57" s="272">
        <v>6</v>
      </c>
      <c r="I57" s="272"/>
      <c r="J57" s="182">
        <f t="shared" si="3"/>
        <v>6</v>
      </c>
      <c r="K57" s="276"/>
      <c r="L57" s="276"/>
      <c r="M57" s="276"/>
      <c r="N57" s="276"/>
      <c r="O57" s="276"/>
      <c r="P57" s="276"/>
      <c r="Q57" s="276"/>
      <c r="R57" s="276"/>
      <c r="S57" s="276"/>
      <c r="T57" s="276"/>
      <c r="U57" s="276"/>
      <c r="V57" s="276"/>
      <c r="W57" s="276"/>
      <c r="X57" s="276"/>
      <c r="Y57" s="276"/>
      <c r="Z57" s="276"/>
      <c r="AA57" s="276"/>
      <c r="AB57" s="276"/>
      <c r="AC57" s="276"/>
      <c r="AD57" s="276"/>
      <c r="AE57" s="276"/>
      <c r="AF57" s="276"/>
      <c r="AG57" s="276"/>
      <c r="AH57" s="276"/>
      <c r="AI57" s="276"/>
      <c r="AJ57" s="276"/>
      <c r="AK57" s="276"/>
      <c r="AL57" s="276"/>
      <c r="AM57" s="276"/>
      <c r="AN57" s="276"/>
      <c r="AO57" s="276"/>
      <c r="AP57" s="182">
        <f t="shared" si="4"/>
        <v>0</v>
      </c>
      <c r="AQ57" s="182">
        <f t="shared" si="5"/>
        <v>6</v>
      </c>
      <c r="AR57" s="182">
        <f t="shared" si="6"/>
        <v>0</v>
      </c>
      <c r="AS57" s="182">
        <f t="shared" si="7"/>
        <v>30</v>
      </c>
      <c r="AT57" s="182">
        <f t="shared" si="8"/>
        <v>0</v>
      </c>
      <c r="AU57" s="174"/>
      <c r="AV57" s="174"/>
      <c r="AW57" s="182">
        <f t="shared" si="9"/>
        <v>0</v>
      </c>
      <c r="AX57" s="179"/>
    </row>
    <row r="58" spans="2:50" s="149" customFormat="1">
      <c r="B58" s="278">
        <v>53</v>
      </c>
      <c r="C58" s="267" t="s">
        <v>271</v>
      </c>
      <c r="D58" s="273" t="s">
        <v>396</v>
      </c>
      <c r="E58" s="273" t="s">
        <v>360</v>
      </c>
      <c r="F58" s="275" t="s">
        <v>10</v>
      </c>
      <c r="G58" s="271">
        <v>45</v>
      </c>
      <c r="H58" s="272">
        <v>1</v>
      </c>
      <c r="I58" s="272"/>
      <c r="J58" s="182">
        <f t="shared" si="3"/>
        <v>1</v>
      </c>
      <c r="K58" s="276"/>
      <c r="L58" s="276"/>
      <c r="M58" s="276"/>
      <c r="N58" s="276"/>
      <c r="O58" s="276"/>
      <c r="P58" s="276"/>
      <c r="Q58" s="276"/>
      <c r="R58" s="276"/>
      <c r="S58" s="276"/>
      <c r="T58" s="276"/>
      <c r="U58" s="276"/>
      <c r="V58" s="276"/>
      <c r="W58" s="276"/>
      <c r="X58" s="276"/>
      <c r="Y58" s="276"/>
      <c r="Z58" s="276"/>
      <c r="AA58" s="276"/>
      <c r="AB58" s="276"/>
      <c r="AC58" s="276"/>
      <c r="AD58" s="276"/>
      <c r="AE58" s="276"/>
      <c r="AF58" s="276"/>
      <c r="AG58" s="276"/>
      <c r="AH58" s="276"/>
      <c r="AI58" s="276"/>
      <c r="AJ58" s="276"/>
      <c r="AK58" s="276"/>
      <c r="AL58" s="276"/>
      <c r="AM58" s="276"/>
      <c r="AN58" s="276"/>
      <c r="AO58" s="276"/>
      <c r="AP58" s="182">
        <f t="shared" si="4"/>
        <v>0</v>
      </c>
      <c r="AQ58" s="182">
        <f t="shared" si="5"/>
        <v>1</v>
      </c>
      <c r="AR58" s="182">
        <f t="shared" si="6"/>
        <v>0</v>
      </c>
      <c r="AS58" s="182">
        <f t="shared" si="7"/>
        <v>45</v>
      </c>
      <c r="AT58" s="182">
        <f t="shared" si="8"/>
        <v>0</v>
      </c>
      <c r="AU58" s="174"/>
      <c r="AV58" s="174"/>
      <c r="AW58" s="182">
        <f t="shared" si="9"/>
        <v>0</v>
      </c>
      <c r="AX58" s="179"/>
    </row>
    <row r="59" spans="2:50" s="149" customFormat="1">
      <c r="B59" s="278">
        <v>54</v>
      </c>
      <c r="C59" s="267" t="s">
        <v>271</v>
      </c>
      <c r="D59" s="280" t="s">
        <v>443</v>
      </c>
      <c r="E59" s="273" t="s">
        <v>360</v>
      </c>
      <c r="F59" s="275" t="s">
        <v>10</v>
      </c>
      <c r="G59" s="271">
        <v>8</v>
      </c>
      <c r="H59" s="272">
        <v>5</v>
      </c>
      <c r="I59" s="272"/>
      <c r="J59" s="182">
        <f t="shared" si="3"/>
        <v>5</v>
      </c>
      <c r="K59" s="276"/>
      <c r="L59" s="276"/>
      <c r="M59" s="276"/>
      <c r="N59" s="276"/>
      <c r="O59" s="276"/>
      <c r="P59" s="276"/>
      <c r="Q59" s="276"/>
      <c r="R59" s="276"/>
      <c r="S59" s="276"/>
      <c r="T59" s="276"/>
      <c r="U59" s="276"/>
      <c r="V59" s="276"/>
      <c r="W59" s="276"/>
      <c r="X59" s="276"/>
      <c r="Y59" s="276"/>
      <c r="Z59" s="276"/>
      <c r="AA59" s="276"/>
      <c r="AB59" s="276"/>
      <c r="AC59" s="276"/>
      <c r="AD59" s="276"/>
      <c r="AE59" s="276"/>
      <c r="AF59" s="276"/>
      <c r="AG59" s="276"/>
      <c r="AH59" s="276"/>
      <c r="AI59" s="276"/>
      <c r="AJ59" s="276"/>
      <c r="AK59" s="276"/>
      <c r="AL59" s="276"/>
      <c r="AM59" s="276"/>
      <c r="AN59" s="276"/>
      <c r="AO59" s="276"/>
      <c r="AP59" s="182">
        <f t="shared" si="4"/>
        <v>0</v>
      </c>
      <c r="AQ59" s="182">
        <f t="shared" si="5"/>
        <v>5</v>
      </c>
      <c r="AR59" s="182">
        <f t="shared" si="6"/>
        <v>0</v>
      </c>
      <c r="AS59" s="182">
        <f t="shared" si="7"/>
        <v>40</v>
      </c>
      <c r="AT59" s="182">
        <f t="shared" si="8"/>
        <v>0</v>
      </c>
      <c r="AU59" s="174"/>
      <c r="AV59" s="174"/>
      <c r="AW59" s="182">
        <f t="shared" si="9"/>
        <v>0</v>
      </c>
      <c r="AX59" s="179"/>
    </row>
    <row r="60" spans="2:50" s="149" customFormat="1">
      <c r="B60" s="278">
        <v>55</v>
      </c>
      <c r="C60" s="267" t="s">
        <v>271</v>
      </c>
      <c r="D60" s="273" t="s">
        <v>397</v>
      </c>
      <c r="E60" s="273" t="s">
        <v>414</v>
      </c>
      <c r="F60" s="275" t="s">
        <v>159</v>
      </c>
      <c r="G60" s="271">
        <v>280</v>
      </c>
      <c r="H60" s="272">
        <v>1</v>
      </c>
      <c r="I60" s="272"/>
      <c r="J60" s="182">
        <f t="shared" si="3"/>
        <v>1</v>
      </c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76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276"/>
      <c r="AI60" s="276"/>
      <c r="AJ60" s="276"/>
      <c r="AK60" s="276"/>
      <c r="AL60" s="276"/>
      <c r="AM60" s="276"/>
      <c r="AN60" s="276"/>
      <c r="AO60" s="276"/>
      <c r="AP60" s="182">
        <f t="shared" si="4"/>
        <v>0</v>
      </c>
      <c r="AQ60" s="182">
        <f t="shared" si="5"/>
        <v>1</v>
      </c>
      <c r="AR60" s="182">
        <f t="shared" si="6"/>
        <v>0</v>
      </c>
      <c r="AS60" s="182">
        <f t="shared" si="7"/>
        <v>280</v>
      </c>
      <c r="AT60" s="182">
        <f t="shared" si="8"/>
        <v>0</v>
      </c>
      <c r="AU60" s="174"/>
      <c r="AV60" s="174"/>
      <c r="AW60" s="182">
        <f t="shared" si="9"/>
        <v>0</v>
      </c>
      <c r="AX60" s="179"/>
    </row>
    <row r="61" spans="2:50" s="149" customFormat="1">
      <c r="B61" s="278">
        <v>56</v>
      </c>
      <c r="C61" s="267" t="s">
        <v>271</v>
      </c>
      <c r="D61" s="280" t="s">
        <v>398</v>
      </c>
      <c r="E61" s="273" t="s">
        <v>417</v>
      </c>
      <c r="F61" s="275" t="s">
        <v>162</v>
      </c>
      <c r="G61" s="271">
        <v>950</v>
      </c>
      <c r="H61" s="272">
        <v>0</v>
      </c>
      <c r="I61" s="272"/>
      <c r="J61" s="182">
        <f t="shared" si="3"/>
        <v>0</v>
      </c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182">
        <f t="shared" si="4"/>
        <v>0</v>
      </c>
      <c r="AQ61" s="182">
        <f t="shared" si="5"/>
        <v>0</v>
      </c>
      <c r="AR61" s="182">
        <f t="shared" si="6"/>
        <v>0</v>
      </c>
      <c r="AS61" s="182">
        <f t="shared" si="7"/>
        <v>0</v>
      </c>
      <c r="AT61" s="182">
        <f t="shared" si="8"/>
        <v>0</v>
      </c>
      <c r="AU61" s="174"/>
      <c r="AV61" s="174"/>
      <c r="AW61" s="182">
        <f t="shared" si="9"/>
        <v>0</v>
      </c>
      <c r="AX61" s="179"/>
    </row>
    <row r="62" spans="2:50" s="149" customFormat="1">
      <c r="B62" s="278">
        <v>57</v>
      </c>
      <c r="C62" s="267" t="s">
        <v>271</v>
      </c>
      <c r="D62" s="273" t="s">
        <v>149</v>
      </c>
      <c r="E62" s="273" t="s">
        <v>360</v>
      </c>
      <c r="F62" s="275" t="s">
        <v>10</v>
      </c>
      <c r="G62" s="271">
        <v>65</v>
      </c>
      <c r="H62" s="272">
        <v>3</v>
      </c>
      <c r="I62" s="272"/>
      <c r="J62" s="182">
        <f t="shared" si="3"/>
        <v>3</v>
      </c>
      <c r="K62" s="276"/>
      <c r="L62" s="276"/>
      <c r="M62" s="276"/>
      <c r="N62" s="276"/>
      <c r="O62" s="276"/>
      <c r="P62" s="276"/>
      <c r="Q62" s="276"/>
      <c r="R62" s="276"/>
      <c r="S62" s="276"/>
      <c r="T62" s="276"/>
      <c r="U62" s="276"/>
      <c r="V62" s="276"/>
      <c r="W62" s="276"/>
      <c r="X62" s="276"/>
      <c r="Y62" s="276"/>
      <c r="Z62" s="276"/>
      <c r="AA62" s="276"/>
      <c r="AB62" s="276"/>
      <c r="AC62" s="276"/>
      <c r="AD62" s="276"/>
      <c r="AE62" s="276"/>
      <c r="AF62" s="276"/>
      <c r="AG62" s="276"/>
      <c r="AH62" s="276"/>
      <c r="AI62" s="276"/>
      <c r="AJ62" s="276"/>
      <c r="AK62" s="276"/>
      <c r="AL62" s="276"/>
      <c r="AM62" s="276"/>
      <c r="AN62" s="276"/>
      <c r="AO62" s="276"/>
      <c r="AP62" s="182">
        <f t="shared" si="4"/>
        <v>0</v>
      </c>
      <c r="AQ62" s="182">
        <f t="shared" si="5"/>
        <v>3</v>
      </c>
      <c r="AR62" s="182">
        <f t="shared" si="6"/>
        <v>0</v>
      </c>
      <c r="AS62" s="182">
        <f t="shared" si="7"/>
        <v>195</v>
      </c>
      <c r="AT62" s="182">
        <f t="shared" si="8"/>
        <v>0</v>
      </c>
      <c r="AU62" s="174"/>
      <c r="AV62" s="174"/>
      <c r="AW62" s="182">
        <f t="shared" si="9"/>
        <v>0</v>
      </c>
      <c r="AX62" s="179"/>
    </row>
    <row r="63" spans="2:50" s="149" customFormat="1">
      <c r="B63" s="278">
        <v>58</v>
      </c>
      <c r="C63" s="267" t="s">
        <v>271</v>
      </c>
      <c r="D63" s="273" t="s">
        <v>150</v>
      </c>
      <c r="E63" s="273" t="s">
        <v>360</v>
      </c>
      <c r="F63" s="275" t="s">
        <v>10</v>
      </c>
      <c r="G63" s="271">
        <v>95</v>
      </c>
      <c r="H63" s="272">
        <v>0</v>
      </c>
      <c r="I63" s="272"/>
      <c r="J63" s="182">
        <f t="shared" ref="J63:J79" si="10">H63+I63</f>
        <v>0</v>
      </c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  <c r="AA63" s="276"/>
      <c r="AB63" s="276"/>
      <c r="AC63" s="276"/>
      <c r="AD63" s="276"/>
      <c r="AE63" s="276"/>
      <c r="AF63" s="276"/>
      <c r="AG63" s="276"/>
      <c r="AH63" s="276"/>
      <c r="AI63" s="276"/>
      <c r="AJ63" s="276"/>
      <c r="AK63" s="276"/>
      <c r="AL63" s="276"/>
      <c r="AM63" s="276"/>
      <c r="AN63" s="276"/>
      <c r="AO63" s="276"/>
      <c r="AP63" s="182">
        <f t="shared" ref="AP63:AP80" si="11">SUM(K63:AO63)</f>
        <v>0</v>
      </c>
      <c r="AQ63" s="182">
        <f t="shared" ref="AQ63:AQ80" si="12">J63-AP63</f>
        <v>0</v>
      </c>
      <c r="AR63" s="182">
        <f t="shared" ref="AR63:AR80" si="13">AP63*G63</f>
        <v>0</v>
      </c>
      <c r="AS63" s="182">
        <f t="shared" ref="AS63:AS80" si="14">AQ63*G63</f>
        <v>0</v>
      </c>
      <c r="AT63" s="182">
        <f t="shared" ref="AT63:AT80" si="15">I63*G63</f>
        <v>0</v>
      </c>
      <c r="AU63" s="174"/>
      <c r="AV63" s="174"/>
      <c r="AW63" s="182">
        <f t="shared" ref="AW63:AW80" si="16">AT63*SUM(AU63:AV63)%+AT63</f>
        <v>0</v>
      </c>
      <c r="AX63" s="179"/>
    </row>
    <row r="64" spans="2:50" s="149" customFormat="1">
      <c r="B64" s="278">
        <v>59</v>
      </c>
      <c r="C64" s="267" t="s">
        <v>271</v>
      </c>
      <c r="D64" s="273" t="s">
        <v>399</v>
      </c>
      <c r="E64" s="273" t="s">
        <v>360</v>
      </c>
      <c r="F64" s="275" t="s">
        <v>10</v>
      </c>
      <c r="G64" s="271">
        <v>175</v>
      </c>
      <c r="H64" s="272">
        <v>0</v>
      </c>
      <c r="I64" s="272"/>
      <c r="J64" s="182">
        <f t="shared" si="10"/>
        <v>0</v>
      </c>
      <c r="K64" s="276"/>
      <c r="L64" s="276"/>
      <c r="M64" s="276"/>
      <c r="N64" s="276"/>
      <c r="O64" s="276"/>
      <c r="P64" s="276"/>
      <c r="Q64" s="276"/>
      <c r="R64" s="276"/>
      <c r="S64" s="276"/>
      <c r="T64" s="276"/>
      <c r="U64" s="276"/>
      <c r="V64" s="276"/>
      <c r="W64" s="276"/>
      <c r="X64" s="276"/>
      <c r="Y64" s="276"/>
      <c r="Z64" s="276"/>
      <c r="AA64" s="276"/>
      <c r="AB64" s="276"/>
      <c r="AC64" s="276"/>
      <c r="AD64" s="276"/>
      <c r="AE64" s="276"/>
      <c r="AF64" s="276"/>
      <c r="AG64" s="276"/>
      <c r="AH64" s="276"/>
      <c r="AI64" s="276"/>
      <c r="AJ64" s="276"/>
      <c r="AK64" s="276"/>
      <c r="AL64" s="276"/>
      <c r="AM64" s="276"/>
      <c r="AN64" s="276"/>
      <c r="AO64" s="276"/>
      <c r="AP64" s="182">
        <f t="shared" si="11"/>
        <v>0</v>
      </c>
      <c r="AQ64" s="182">
        <f t="shared" si="12"/>
        <v>0</v>
      </c>
      <c r="AR64" s="182">
        <f t="shared" si="13"/>
        <v>0</v>
      </c>
      <c r="AS64" s="182">
        <f t="shared" si="14"/>
        <v>0</v>
      </c>
      <c r="AT64" s="182">
        <f t="shared" si="15"/>
        <v>0</v>
      </c>
      <c r="AU64" s="174"/>
      <c r="AV64" s="174"/>
      <c r="AW64" s="182">
        <f t="shared" si="16"/>
        <v>0</v>
      </c>
      <c r="AX64" s="179"/>
    </row>
    <row r="65" spans="2:50" s="149" customFormat="1">
      <c r="B65" s="278">
        <v>60</v>
      </c>
      <c r="C65" s="267" t="s">
        <v>271</v>
      </c>
      <c r="D65" s="273" t="s">
        <v>400</v>
      </c>
      <c r="E65" s="273" t="s">
        <v>360</v>
      </c>
      <c r="F65" s="275" t="s">
        <v>164</v>
      </c>
      <c r="G65" s="271">
        <v>45</v>
      </c>
      <c r="H65" s="272">
        <v>4</v>
      </c>
      <c r="I65" s="272"/>
      <c r="J65" s="182">
        <f t="shared" si="10"/>
        <v>4</v>
      </c>
      <c r="K65" s="276"/>
      <c r="L65" s="276"/>
      <c r="M65" s="276"/>
      <c r="N65" s="276"/>
      <c r="O65" s="276"/>
      <c r="P65" s="276"/>
      <c r="Q65" s="276"/>
      <c r="R65" s="276"/>
      <c r="S65" s="276"/>
      <c r="T65" s="276"/>
      <c r="U65" s="276"/>
      <c r="V65" s="276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76"/>
      <c r="AM65" s="276"/>
      <c r="AN65" s="276"/>
      <c r="AO65" s="276"/>
      <c r="AP65" s="182">
        <f t="shared" si="11"/>
        <v>0</v>
      </c>
      <c r="AQ65" s="182">
        <f t="shared" si="12"/>
        <v>4</v>
      </c>
      <c r="AR65" s="182">
        <f t="shared" si="13"/>
        <v>0</v>
      </c>
      <c r="AS65" s="182">
        <f t="shared" si="14"/>
        <v>180</v>
      </c>
      <c r="AT65" s="182">
        <f t="shared" si="15"/>
        <v>0</v>
      </c>
      <c r="AU65" s="174"/>
      <c r="AV65" s="174"/>
      <c r="AW65" s="182">
        <f t="shared" si="16"/>
        <v>0</v>
      </c>
      <c r="AX65" s="179"/>
    </row>
    <row r="66" spans="2:50" s="149" customFormat="1">
      <c r="B66" s="278">
        <v>61</v>
      </c>
      <c r="C66" s="267" t="s">
        <v>271</v>
      </c>
      <c r="D66" s="273" t="s">
        <v>401</v>
      </c>
      <c r="E66" s="273" t="s">
        <v>360</v>
      </c>
      <c r="F66" s="275" t="s">
        <v>59</v>
      </c>
      <c r="G66" s="271">
        <v>55</v>
      </c>
      <c r="H66" s="272">
        <v>4</v>
      </c>
      <c r="I66" s="272"/>
      <c r="J66" s="182">
        <f t="shared" si="10"/>
        <v>4</v>
      </c>
      <c r="K66" s="276"/>
      <c r="L66" s="276"/>
      <c r="M66" s="276"/>
      <c r="N66" s="276"/>
      <c r="O66" s="276"/>
      <c r="P66" s="276"/>
      <c r="Q66" s="276"/>
      <c r="R66" s="276"/>
      <c r="S66" s="276"/>
      <c r="T66" s="276"/>
      <c r="U66" s="276"/>
      <c r="V66" s="276"/>
      <c r="W66" s="276"/>
      <c r="X66" s="276"/>
      <c r="Y66" s="276"/>
      <c r="Z66" s="276"/>
      <c r="AA66" s="276"/>
      <c r="AB66" s="276"/>
      <c r="AC66" s="276"/>
      <c r="AD66" s="276"/>
      <c r="AE66" s="276"/>
      <c r="AF66" s="276"/>
      <c r="AG66" s="276"/>
      <c r="AH66" s="276"/>
      <c r="AI66" s="276"/>
      <c r="AJ66" s="276"/>
      <c r="AK66" s="276"/>
      <c r="AL66" s="276"/>
      <c r="AM66" s="276"/>
      <c r="AN66" s="276"/>
      <c r="AO66" s="276"/>
      <c r="AP66" s="182">
        <f t="shared" si="11"/>
        <v>0</v>
      </c>
      <c r="AQ66" s="182">
        <f t="shared" si="12"/>
        <v>4</v>
      </c>
      <c r="AR66" s="182">
        <f t="shared" si="13"/>
        <v>0</v>
      </c>
      <c r="AS66" s="182">
        <f t="shared" si="14"/>
        <v>220</v>
      </c>
      <c r="AT66" s="182">
        <f t="shared" si="15"/>
        <v>0</v>
      </c>
      <c r="AU66" s="174"/>
      <c r="AV66" s="174"/>
      <c r="AW66" s="182">
        <f t="shared" si="16"/>
        <v>0</v>
      </c>
      <c r="AX66" s="179"/>
    </row>
    <row r="67" spans="2:50" s="149" customFormat="1">
      <c r="B67" s="278">
        <v>62</v>
      </c>
      <c r="C67" s="267" t="s">
        <v>271</v>
      </c>
      <c r="D67" s="273" t="s">
        <v>402</v>
      </c>
      <c r="E67" s="273" t="s">
        <v>360</v>
      </c>
      <c r="F67" s="275" t="s">
        <v>59</v>
      </c>
      <c r="G67" s="271">
        <v>20</v>
      </c>
      <c r="H67" s="272">
        <v>96</v>
      </c>
      <c r="I67" s="272">
        <v>1008</v>
      </c>
      <c r="J67" s="182">
        <f t="shared" si="10"/>
        <v>1104</v>
      </c>
      <c r="K67" s="276"/>
      <c r="L67" s="276">
        <v>48</v>
      </c>
      <c r="M67" s="276">
        <v>48</v>
      </c>
      <c r="N67" s="276">
        <v>48</v>
      </c>
      <c r="O67" s="276">
        <v>48</v>
      </c>
      <c r="P67" s="276">
        <v>48</v>
      </c>
      <c r="Q67" s="276"/>
      <c r="R67" s="276"/>
      <c r="S67" s="276">
        <v>48</v>
      </c>
      <c r="T67" s="276">
        <v>48</v>
      </c>
      <c r="U67" s="276">
        <v>48</v>
      </c>
      <c r="V67" s="276">
        <v>48</v>
      </c>
      <c r="W67" s="276">
        <v>48</v>
      </c>
      <c r="X67" s="276"/>
      <c r="Y67" s="276"/>
      <c r="Z67" s="276">
        <v>48</v>
      </c>
      <c r="AA67" s="276">
        <v>48</v>
      </c>
      <c r="AB67" s="276">
        <v>24</v>
      </c>
      <c r="AC67" s="276"/>
      <c r="AD67" s="276"/>
      <c r="AE67" s="276"/>
      <c r="AF67" s="276"/>
      <c r="AG67" s="276"/>
      <c r="AH67" s="276"/>
      <c r="AI67" s="276"/>
      <c r="AJ67" s="276"/>
      <c r="AK67" s="276"/>
      <c r="AL67" s="276"/>
      <c r="AM67" s="276"/>
      <c r="AN67" s="276"/>
      <c r="AO67" s="276"/>
      <c r="AP67" s="182">
        <f t="shared" si="11"/>
        <v>600</v>
      </c>
      <c r="AQ67" s="182">
        <f t="shared" si="12"/>
        <v>504</v>
      </c>
      <c r="AR67" s="182">
        <f t="shared" si="13"/>
        <v>12000</v>
      </c>
      <c r="AS67" s="182">
        <f t="shared" si="14"/>
        <v>10080</v>
      </c>
      <c r="AT67" s="182">
        <f t="shared" si="15"/>
        <v>20160</v>
      </c>
      <c r="AU67" s="174"/>
      <c r="AV67" s="174"/>
      <c r="AW67" s="182">
        <f t="shared" si="16"/>
        <v>20160</v>
      </c>
      <c r="AX67" s="179"/>
    </row>
    <row r="68" spans="2:50" s="149" customFormat="1">
      <c r="B68" s="278">
        <v>63</v>
      </c>
      <c r="C68" s="267" t="s">
        <v>271</v>
      </c>
      <c r="D68" s="273" t="s">
        <v>151</v>
      </c>
      <c r="E68" s="273" t="s">
        <v>360</v>
      </c>
      <c r="F68" s="275" t="s">
        <v>59</v>
      </c>
      <c r="G68" s="271">
        <v>60</v>
      </c>
      <c r="H68" s="272">
        <v>1</v>
      </c>
      <c r="I68" s="272"/>
      <c r="J68" s="182">
        <f t="shared" si="10"/>
        <v>1</v>
      </c>
      <c r="K68" s="276"/>
      <c r="L68" s="276"/>
      <c r="M68" s="276"/>
      <c r="N68" s="276"/>
      <c r="O68" s="276"/>
      <c r="P68" s="276"/>
      <c r="Q68" s="276"/>
      <c r="R68" s="276"/>
      <c r="S68" s="276"/>
      <c r="T68" s="276"/>
      <c r="U68" s="276"/>
      <c r="V68" s="276"/>
      <c r="W68" s="276"/>
      <c r="X68" s="276"/>
      <c r="Y68" s="276"/>
      <c r="Z68" s="276"/>
      <c r="AA68" s="276"/>
      <c r="AB68" s="276"/>
      <c r="AC68" s="276"/>
      <c r="AD68" s="276"/>
      <c r="AE68" s="276"/>
      <c r="AF68" s="276"/>
      <c r="AG68" s="276"/>
      <c r="AH68" s="276"/>
      <c r="AI68" s="276"/>
      <c r="AJ68" s="276"/>
      <c r="AK68" s="276"/>
      <c r="AL68" s="276"/>
      <c r="AM68" s="276"/>
      <c r="AN68" s="276"/>
      <c r="AO68" s="276"/>
      <c r="AP68" s="182">
        <f t="shared" si="11"/>
        <v>0</v>
      </c>
      <c r="AQ68" s="182">
        <f t="shared" si="12"/>
        <v>1</v>
      </c>
      <c r="AR68" s="182">
        <f t="shared" si="13"/>
        <v>0</v>
      </c>
      <c r="AS68" s="182">
        <f t="shared" si="14"/>
        <v>60</v>
      </c>
      <c r="AT68" s="182">
        <f t="shared" si="15"/>
        <v>0</v>
      </c>
      <c r="AU68" s="174"/>
      <c r="AV68" s="174"/>
      <c r="AW68" s="182">
        <f t="shared" si="16"/>
        <v>0</v>
      </c>
      <c r="AX68" s="179"/>
    </row>
    <row r="69" spans="2:50" s="149" customFormat="1">
      <c r="B69" s="278">
        <v>64</v>
      </c>
      <c r="C69" s="267" t="s">
        <v>271</v>
      </c>
      <c r="D69" s="273" t="s">
        <v>152</v>
      </c>
      <c r="E69" s="273" t="s">
        <v>360</v>
      </c>
      <c r="F69" s="275" t="s">
        <v>165</v>
      </c>
      <c r="G69" s="271">
        <v>350</v>
      </c>
      <c r="H69" s="272">
        <v>1</v>
      </c>
      <c r="I69" s="272">
        <v>1</v>
      </c>
      <c r="J69" s="182">
        <f t="shared" si="10"/>
        <v>2</v>
      </c>
      <c r="K69" s="276"/>
      <c r="L69" s="276"/>
      <c r="M69" s="276"/>
      <c r="N69" s="276"/>
      <c r="O69" s="276"/>
      <c r="P69" s="276"/>
      <c r="Q69" s="276"/>
      <c r="R69" s="276"/>
      <c r="S69" s="276"/>
      <c r="T69" s="276"/>
      <c r="U69" s="276"/>
      <c r="V69" s="276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276"/>
      <c r="AI69" s="276"/>
      <c r="AJ69" s="276"/>
      <c r="AK69" s="276"/>
      <c r="AL69" s="276"/>
      <c r="AM69" s="276"/>
      <c r="AN69" s="276"/>
      <c r="AO69" s="276"/>
      <c r="AP69" s="182">
        <f t="shared" si="11"/>
        <v>0</v>
      </c>
      <c r="AQ69" s="182">
        <f t="shared" si="12"/>
        <v>2</v>
      </c>
      <c r="AR69" s="182">
        <f t="shared" si="13"/>
        <v>0</v>
      </c>
      <c r="AS69" s="182">
        <f t="shared" si="14"/>
        <v>700</v>
      </c>
      <c r="AT69" s="182">
        <f t="shared" si="15"/>
        <v>350</v>
      </c>
      <c r="AU69" s="174"/>
      <c r="AV69" s="174"/>
      <c r="AW69" s="182">
        <f t="shared" si="16"/>
        <v>350</v>
      </c>
      <c r="AX69" s="179"/>
    </row>
    <row r="70" spans="2:50" s="149" customFormat="1">
      <c r="B70" s="278">
        <v>65</v>
      </c>
      <c r="C70" s="267" t="s">
        <v>271</v>
      </c>
      <c r="D70" s="273" t="s">
        <v>403</v>
      </c>
      <c r="E70" s="273" t="s">
        <v>360</v>
      </c>
      <c r="F70" s="275" t="s">
        <v>59</v>
      </c>
      <c r="G70" s="271">
        <v>120</v>
      </c>
      <c r="H70" s="272">
        <v>4</v>
      </c>
      <c r="I70" s="272">
        <v>10</v>
      </c>
      <c r="J70" s="182">
        <f t="shared" si="10"/>
        <v>14</v>
      </c>
      <c r="K70" s="276"/>
      <c r="L70" s="276">
        <v>1</v>
      </c>
      <c r="M70" s="276"/>
      <c r="N70" s="276"/>
      <c r="O70" s="276"/>
      <c r="P70" s="276"/>
      <c r="Q70" s="276"/>
      <c r="R70" s="276"/>
      <c r="S70" s="276"/>
      <c r="T70" s="276"/>
      <c r="U70" s="276"/>
      <c r="V70" s="276"/>
      <c r="W70" s="276"/>
      <c r="X70" s="276"/>
      <c r="Y70" s="276"/>
      <c r="Z70" s="276">
        <v>6</v>
      </c>
      <c r="AA70" s="276"/>
      <c r="AB70" s="276"/>
      <c r="AC70" s="276"/>
      <c r="AD70" s="276"/>
      <c r="AE70" s="276"/>
      <c r="AF70" s="276"/>
      <c r="AG70" s="276"/>
      <c r="AH70" s="276"/>
      <c r="AI70" s="276"/>
      <c r="AJ70" s="276"/>
      <c r="AK70" s="276"/>
      <c r="AL70" s="276"/>
      <c r="AM70" s="276"/>
      <c r="AN70" s="276"/>
      <c r="AO70" s="276"/>
      <c r="AP70" s="182">
        <f t="shared" si="11"/>
        <v>7</v>
      </c>
      <c r="AQ70" s="182">
        <f t="shared" si="12"/>
        <v>7</v>
      </c>
      <c r="AR70" s="182">
        <f t="shared" si="13"/>
        <v>840</v>
      </c>
      <c r="AS70" s="182">
        <f t="shared" si="14"/>
        <v>840</v>
      </c>
      <c r="AT70" s="182">
        <f t="shared" si="15"/>
        <v>1200</v>
      </c>
      <c r="AU70" s="174"/>
      <c r="AV70" s="174"/>
      <c r="AW70" s="182">
        <f t="shared" si="16"/>
        <v>1200</v>
      </c>
      <c r="AX70" s="179"/>
    </row>
    <row r="71" spans="2:50" s="149" customFormat="1">
      <c r="B71" s="278">
        <v>66</v>
      </c>
      <c r="C71" s="267" t="s">
        <v>271</v>
      </c>
      <c r="D71" s="273" t="s">
        <v>153</v>
      </c>
      <c r="E71" s="273" t="s">
        <v>360</v>
      </c>
      <c r="F71" s="275" t="s">
        <v>12</v>
      </c>
      <c r="G71" s="271">
        <v>40</v>
      </c>
      <c r="H71" s="272">
        <v>5</v>
      </c>
      <c r="I71" s="272">
        <v>5</v>
      </c>
      <c r="J71" s="182">
        <f t="shared" si="10"/>
        <v>10</v>
      </c>
      <c r="K71" s="276"/>
      <c r="L71" s="276">
        <v>1</v>
      </c>
      <c r="M71" s="276"/>
      <c r="N71" s="276"/>
      <c r="O71" s="276"/>
      <c r="P71" s="276"/>
      <c r="Q71" s="276"/>
      <c r="R71" s="276"/>
      <c r="S71" s="276"/>
      <c r="T71" s="276"/>
      <c r="U71" s="276"/>
      <c r="V71" s="276"/>
      <c r="W71" s="276"/>
      <c r="X71" s="276"/>
      <c r="Y71" s="276"/>
      <c r="Z71" s="276">
        <v>1</v>
      </c>
      <c r="AA71" s="276"/>
      <c r="AB71" s="276"/>
      <c r="AC71" s="276"/>
      <c r="AD71" s="276"/>
      <c r="AE71" s="276"/>
      <c r="AF71" s="276"/>
      <c r="AG71" s="276"/>
      <c r="AH71" s="276"/>
      <c r="AI71" s="276"/>
      <c r="AJ71" s="276"/>
      <c r="AK71" s="276"/>
      <c r="AL71" s="276"/>
      <c r="AM71" s="276"/>
      <c r="AN71" s="276"/>
      <c r="AO71" s="276"/>
      <c r="AP71" s="182">
        <f t="shared" si="11"/>
        <v>2</v>
      </c>
      <c r="AQ71" s="182">
        <f t="shared" si="12"/>
        <v>8</v>
      </c>
      <c r="AR71" s="182">
        <f t="shared" si="13"/>
        <v>80</v>
      </c>
      <c r="AS71" s="182">
        <f t="shared" si="14"/>
        <v>320</v>
      </c>
      <c r="AT71" s="182">
        <f t="shared" si="15"/>
        <v>200</v>
      </c>
      <c r="AU71" s="174"/>
      <c r="AV71" s="174"/>
      <c r="AW71" s="182">
        <f t="shared" si="16"/>
        <v>200</v>
      </c>
      <c r="AX71" s="179"/>
    </row>
    <row r="72" spans="2:50" s="149" customFormat="1">
      <c r="B72" s="278">
        <v>67</v>
      </c>
      <c r="C72" s="267" t="s">
        <v>271</v>
      </c>
      <c r="D72" s="273" t="s">
        <v>404</v>
      </c>
      <c r="E72" s="273" t="s">
        <v>360</v>
      </c>
      <c r="F72" s="275" t="s">
        <v>59</v>
      </c>
      <c r="G72" s="271">
        <v>345</v>
      </c>
      <c r="H72" s="272">
        <v>1</v>
      </c>
      <c r="I72" s="272"/>
      <c r="J72" s="182">
        <f t="shared" si="10"/>
        <v>1</v>
      </c>
      <c r="K72" s="276"/>
      <c r="L72" s="276"/>
      <c r="M72" s="276"/>
      <c r="N72" s="276"/>
      <c r="O72" s="276"/>
      <c r="P72" s="276"/>
      <c r="Q72" s="276"/>
      <c r="R72" s="276"/>
      <c r="S72" s="276"/>
      <c r="T72" s="276"/>
      <c r="U72" s="276"/>
      <c r="V72" s="276"/>
      <c r="W72" s="276"/>
      <c r="X72" s="276"/>
      <c r="Y72" s="276"/>
      <c r="Z72" s="276"/>
      <c r="AA72" s="276"/>
      <c r="AB72" s="276"/>
      <c r="AC72" s="276"/>
      <c r="AD72" s="276"/>
      <c r="AE72" s="276"/>
      <c r="AF72" s="276"/>
      <c r="AG72" s="276"/>
      <c r="AH72" s="276"/>
      <c r="AI72" s="276"/>
      <c r="AJ72" s="276"/>
      <c r="AK72" s="276"/>
      <c r="AL72" s="276"/>
      <c r="AM72" s="276"/>
      <c r="AN72" s="276"/>
      <c r="AO72" s="276"/>
      <c r="AP72" s="182">
        <f t="shared" si="11"/>
        <v>0</v>
      </c>
      <c r="AQ72" s="182">
        <f t="shared" si="12"/>
        <v>1</v>
      </c>
      <c r="AR72" s="182">
        <f t="shared" si="13"/>
        <v>0</v>
      </c>
      <c r="AS72" s="182">
        <f t="shared" si="14"/>
        <v>345</v>
      </c>
      <c r="AT72" s="182">
        <f t="shared" si="15"/>
        <v>0</v>
      </c>
      <c r="AU72" s="174"/>
      <c r="AV72" s="174"/>
      <c r="AW72" s="182">
        <f t="shared" si="16"/>
        <v>0</v>
      </c>
      <c r="AX72" s="179"/>
    </row>
    <row r="73" spans="2:50" s="149" customFormat="1">
      <c r="B73" s="278">
        <v>68</v>
      </c>
      <c r="C73" s="267" t="s">
        <v>271</v>
      </c>
      <c r="D73" s="273" t="s">
        <v>154</v>
      </c>
      <c r="E73" s="273" t="s">
        <v>360</v>
      </c>
      <c r="F73" s="275" t="s">
        <v>59</v>
      </c>
      <c r="G73" s="271">
        <v>38</v>
      </c>
      <c r="H73" s="272">
        <v>10</v>
      </c>
      <c r="I73" s="272"/>
      <c r="J73" s="182">
        <f t="shared" si="10"/>
        <v>10</v>
      </c>
      <c r="K73" s="276"/>
      <c r="L73" s="276"/>
      <c r="M73" s="276"/>
      <c r="N73" s="276"/>
      <c r="O73" s="276"/>
      <c r="P73" s="276"/>
      <c r="Q73" s="276"/>
      <c r="R73" s="276"/>
      <c r="S73" s="276"/>
      <c r="T73" s="276"/>
      <c r="U73" s="276"/>
      <c r="V73" s="276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276"/>
      <c r="AI73" s="276"/>
      <c r="AJ73" s="276"/>
      <c r="AK73" s="276"/>
      <c r="AL73" s="276"/>
      <c r="AM73" s="276"/>
      <c r="AN73" s="276"/>
      <c r="AO73" s="276"/>
      <c r="AP73" s="182">
        <f t="shared" si="11"/>
        <v>0</v>
      </c>
      <c r="AQ73" s="182">
        <f t="shared" si="12"/>
        <v>10</v>
      </c>
      <c r="AR73" s="182">
        <f t="shared" si="13"/>
        <v>0</v>
      </c>
      <c r="AS73" s="182">
        <f t="shared" si="14"/>
        <v>380</v>
      </c>
      <c r="AT73" s="182">
        <f t="shared" si="15"/>
        <v>0</v>
      </c>
      <c r="AU73" s="174"/>
      <c r="AV73" s="174"/>
      <c r="AW73" s="182">
        <f t="shared" si="16"/>
        <v>0</v>
      </c>
      <c r="AX73" s="179"/>
    </row>
    <row r="74" spans="2:50" s="149" customFormat="1">
      <c r="B74" s="278">
        <v>69</v>
      </c>
      <c r="C74" s="267" t="s">
        <v>271</v>
      </c>
      <c r="D74" s="273" t="s">
        <v>405</v>
      </c>
      <c r="E74" s="273" t="s">
        <v>360</v>
      </c>
      <c r="F74" s="275" t="s">
        <v>59</v>
      </c>
      <c r="G74" s="271">
        <v>435</v>
      </c>
      <c r="H74" s="272">
        <v>0</v>
      </c>
      <c r="I74" s="272"/>
      <c r="J74" s="182">
        <f t="shared" si="10"/>
        <v>0</v>
      </c>
      <c r="K74" s="276"/>
      <c r="L74" s="276"/>
      <c r="M74" s="276"/>
      <c r="N74" s="276"/>
      <c r="O74" s="276"/>
      <c r="P74" s="276"/>
      <c r="Q74" s="276"/>
      <c r="R74" s="276"/>
      <c r="S74" s="276"/>
      <c r="T74" s="276"/>
      <c r="U74" s="276"/>
      <c r="V74" s="276"/>
      <c r="W74" s="276"/>
      <c r="X74" s="276"/>
      <c r="Y74" s="276"/>
      <c r="Z74" s="276"/>
      <c r="AA74" s="276"/>
      <c r="AB74" s="276"/>
      <c r="AC74" s="276"/>
      <c r="AD74" s="276"/>
      <c r="AE74" s="276"/>
      <c r="AF74" s="276"/>
      <c r="AG74" s="276"/>
      <c r="AH74" s="276"/>
      <c r="AI74" s="276"/>
      <c r="AJ74" s="276"/>
      <c r="AK74" s="276"/>
      <c r="AL74" s="276"/>
      <c r="AM74" s="276"/>
      <c r="AN74" s="276"/>
      <c r="AO74" s="276"/>
      <c r="AP74" s="182">
        <f t="shared" si="11"/>
        <v>0</v>
      </c>
      <c r="AQ74" s="182">
        <f t="shared" si="12"/>
        <v>0</v>
      </c>
      <c r="AR74" s="182">
        <f t="shared" si="13"/>
        <v>0</v>
      </c>
      <c r="AS74" s="182">
        <f t="shared" si="14"/>
        <v>0</v>
      </c>
      <c r="AT74" s="182">
        <f t="shared" si="15"/>
        <v>0</v>
      </c>
      <c r="AU74" s="174"/>
      <c r="AV74" s="174"/>
      <c r="AW74" s="182">
        <f t="shared" si="16"/>
        <v>0</v>
      </c>
      <c r="AX74" s="179"/>
    </row>
    <row r="75" spans="2:50" s="149" customFormat="1">
      <c r="B75" s="278">
        <v>70</v>
      </c>
      <c r="C75" s="267" t="s">
        <v>271</v>
      </c>
      <c r="D75" s="273" t="s">
        <v>406</v>
      </c>
      <c r="E75" s="273" t="s">
        <v>360</v>
      </c>
      <c r="F75" s="282" t="s">
        <v>12</v>
      </c>
      <c r="G75" s="271">
        <v>70</v>
      </c>
      <c r="H75" s="272">
        <v>18</v>
      </c>
      <c r="I75" s="272"/>
      <c r="J75" s="182">
        <f t="shared" si="10"/>
        <v>18</v>
      </c>
      <c r="K75" s="276"/>
      <c r="L75" s="276"/>
      <c r="M75" s="276"/>
      <c r="N75" s="276"/>
      <c r="O75" s="276"/>
      <c r="P75" s="276">
        <v>1</v>
      </c>
      <c r="Q75" s="276"/>
      <c r="R75" s="276"/>
      <c r="S75" s="276"/>
      <c r="T75" s="276"/>
      <c r="U75" s="276"/>
      <c r="V75" s="276"/>
      <c r="W75" s="276"/>
      <c r="X75" s="276"/>
      <c r="Y75" s="276"/>
      <c r="Z75" s="276"/>
      <c r="AA75" s="276"/>
      <c r="AB75" s="276"/>
      <c r="AC75" s="276"/>
      <c r="AD75" s="276"/>
      <c r="AE75" s="276"/>
      <c r="AF75" s="276"/>
      <c r="AG75" s="276"/>
      <c r="AH75" s="276"/>
      <c r="AI75" s="276"/>
      <c r="AJ75" s="276"/>
      <c r="AK75" s="276"/>
      <c r="AL75" s="276"/>
      <c r="AM75" s="276"/>
      <c r="AN75" s="276"/>
      <c r="AO75" s="276"/>
      <c r="AP75" s="182">
        <f t="shared" si="11"/>
        <v>1</v>
      </c>
      <c r="AQ75" s="182">
        <f t="shared" si="12"/>
        <v>17</v>
      </c>
      <c r="AR75" s="182">
        <f t="shared" si="13"/>
        <v>70</v>
      </c>
      <c r="AS75" s="182">
        <f t="shared" si="14"/>
        <v>1190</v>
      </c>
      <c r="AT75" s="182">
        <f t="shared" si="15"/>
        <v>0</v>
      </c>
      <c r="AU75" s="174"/>
      <c r="AV75" s="174"/>
      <c r="AW75" s="182">
        <f t="shared" si="16"/>
        <v>0</v>
      </c>
      <c r="AX75" s="179"/>
    </row>
    <row r="76" spans="2:50" s="149" customFormat="1">
      <c r="B76" s="278">
        <v>71</v>
      </c>
      <c r="C76" s="267" t="s">
        <v>271</v>
      </c>
      <c r="D76" s="273" t="s">
        <v>407</v>
      </c>
      <c r="E76" s="273" t="s">
        <v>360</v>
      </c>
      <c r="F76" s="275" t="s">
        <v>59</v>
      </c>
      <c r="G76" s="271">
        <v>350</v>
      </c>
      <c r="H76" s="272">
        <v>0</v>
      </c>
      <c r="I76" s="272"/>
      <c r="J76" s="182">
        <f t="shared" si="10"/>
        <v>0</v>
      </c>
      <c r="K76" s="276"/>
      <c r="L76" s="276"/>
      <c r="M76" s="276"/>
      <c r="N76" s="276"/>
      <c r="O76" s="276"/>
      <c r="P76" s="276"/>
      <c r="Q76" s="276"/>
      <c r="R76" s="276"/>
      <c r="S76" s="276"/>
      <c r="T76" s="276"/>
      <c r="U76" s="276"/>
      <c r="V76" s="276"/>
      <c r="W76" s="276"/>
      <c r="X76" s="276"/>
      <c r="Y76" s="276"/>
      <c r="Z76" s="276"/>
      <c r="AA76" s="276"/>
      <c r="AB76" s="276"/>
      <c r="AC76" s="276"/>
      <c r="AD76" s="276"/>
      <c r="AE76" s="276"/>
      <c r="AF76" s="276"/>
      <c r="AG76" s="276"/>
      <c r="AH76" s="276"/>
      <c r="AI76" s="276"/>
      <c r="AJ76" s="276"/>
      <c r="AK76" s="276"/>
      <c r="AL76" s="276"/>
      <c r="AM76" s="276"/>
      <c r="AN76" s="276"/>
      <c r="AO76" s="276"/>
      <c r="AP76" s="182">
        <f t="shared" si="11"/>
        <v>0</v>
      </c>
      <c r="AQ76" s="182">
        <f t="shared" si="12"/>
        <v>0</v>
      </c>
      <c r="AR76" s="182">
        <f t="shared" si="13"/>
        <v>0</v>
      </c>
      <c r="AS76" s="182">
        <f t="shared" si="14"/>
        <v>0</v>
      </c>
      <c r="AT76" s="182">
        <f t="shared" si="15"/>
        <v>0</v>
      </c>
      <c r="AU76" s="174"/>
      <c r="AV76" s="174"/>
      <c r="AW76" s="182">
        <f t="shared" si="16"/>
        <v>0</v>
      </c>
      <c r="AX76" s="179"/>
    </row>
    <row r="77" spans="2:50" s="149" customFormat="1">
      <c r="B77" s="278">
        <v>72</v>
      </c>
      <c r="C77" s="267" t="s">
        <v>271</v>
      </c>
      <c r="D77" s="273" t="s">
        <v>155</v>
      </c>
      <c r="E77" s="273" t="s">
        <v>360</v>
      </c>
      <c r="F77" s="275" t="s">
        <v>59</v>
      </c>
      <c r="G77" s="271">
        <v>15</v>
      </c>
      <c r="H77" s="272">
        <v>0</v>
      </c>
      <c r="I77" s="272"/>
      <c r="J77" s="182">
        <f t="shared" si="10"/>
        <v>0</v>
      </c>
      <c r="K77" s="276"/>
      <c r="L77" s="276"/>
      <c r="M77" s="276"/>
      <c r="N77" s="276"/>
      <c r="O77" s="276"/>
      <c r="P77" s="276"/>
      <c r="Q77" s="276"/>
      <c r="R77" s="276"/>
      <c r="S77" s="276"/>
      <c r="T77" s="276"/>
      <c r="U77" s="276"/>
      <c r="V77" s="276"/>
      <c r="W77" s="276"/>
      <c r="X77" s="276"/>
      <c r="Y77" s="276"/>
      <c r="Z77" s="276"/>
      <c r="AA77" s="276"/>
      <c r="AB77" s="276"/>
      <c r="AC77" s="276"/>
      <c r="AD77" s="276"/>
      <c r="AE77" s="276"/>
      <c r="AF77" s="276"/>
      <c r="AG77" s="276"/>
      <c r="AH77" s="276"/>
      <c r="AI77" s="276"/>
      <c r="AJ77" s="276"/>
      <c r="AK77" s="276"/>
      <c r="AL77" s="276"/>
      <c r="AM77" s="276"/>
      <c r="AN77" s="276"/>
      <c r="AO77" s="276"/>
      <c r="AP77" s="182">
        <f t="shared" si="11"/>
        <v>0</v>
      </c>
      <c r="AQ77" s="182">
        <f t="shared" si="12"/>
        <v>0</v>
      </c>
      <c r="AR77" s="182">
        <f t="shared" si="13"/>
        <v>0</v>
      </c>
      <c r="AS77" s="182">
        <f t="shared" si="14"/>
        <v>0</v>
      </c>
      <c r="AT77" s="182">
        <f t="shared" si="15"/>
        <v>0</v>
      </c>
      <c r="AU77" s="174"/>
      <c r="AV77" s="174"/>
      <c r="AW77" s="182">
        <f t="shared" si="16"/>
        <v>0</v>
      </c>
      <c r="AX77" s="179"/>
    </row>
    <row r="78" spans="2:50" s="149" customFormat="1">
      <c r="B78" s="278">
        <v>73</v>
      </c>
      <c r="C78" s="267" t="s">
        <v>271</v>
      </c>
      <c r="D78" s="273" t="s">
        <v>408</v>
      </c>
      <c r="E78" s="273" t="s">
        <v>360</v>
      </c>
      <c r="F78" s="275" t="s">
        <v>166</v>
      </c>
      <c r="G78" s="271">
        <v>650</v>
      </c>
      <c r="H78" s="272">
        <v>1</v>
      </c>
      <c r="I78" s="272">
        <v>1</v>
      </c>
      <c r="J78" s="182">
        <f t="shared" si="10"/>
        <v>2</v>
      </c>
      <c r="K78" s="276"/>
      <c r="L78" s="276"/>
      <c r="M78" s="276"/>
      <c r="N78" s="276"/>
      <c r="O78" s="276"/>
      <c r="P78" s="276"/>
      <c r="Q78" s="276"/>
      <c r="R78" s="276"/>
      <c r="S78" s="276">
        <v>1</v>
      </c>
      <c r="T78" s="276"/>
      <c r="U78" s="276"/>
      <c r="V78" s="276"/>
      <c r="W78" s="276"/>
      <c r="X78" s="276"/>
      <c r="Y78" s="276"/>
      <c r="Z78" s="276"/>
      <c r="AA78" s="276"/>
      <c r="AB78" s="276"/>
      <c r="AC78" s="276"/>
      <c r="AD78" s="276"/>
      <c r="AE78" s="276"/>
      <c r="AF78" s="276"/>
      <c r="AG78" s="276"/>
      <c r="AH78" s="276"/>
      <c r="AI78" s="276"/>
      <c r="AJ78" s="276"/>
      <c r="AK78" s="276"/>
      <c r="AL78" s="276"/>
      <c r="AM78" s="276"/>
      <c r="AN78" s="276"/>
      <c r="AO78" s="276"/>
      <c r="AP78" s="182">
        <f t="shared" si="11"/>
        <v>1</v>
      </c>
      <c r="AQ78" s="182">
        <f t="shared" si="12"/>
        <v>1</v>
      </c>
      <c r="AR78" s="182">
        <f t="shared" si="13"/>
        <v>650</v>
      </c>
      <c r="AS78" s="182">
        <f t="shared" si="14"/>
        <v>650</v>
      </c>
      <c r="AT78" s="182">
        <f t="shared" si="15"/>
        <v>650</v>
      </c>
      <c r="AU78" s="174"/>
      <c r="AV78" s="174"/>
      <c r="AW78" s="182">
        <f t="shared" si="16"/>
        <v>650</v>
      </c>
      <c r="AX78" s="179"/>
    </row>
    <row r="79" spans="2:50" s="149" customFormat="1">
      <c r="B79" s="278">
        <v>74</v>
      </c>
      <c r="C79" s="267" t="s">
        <v>271</v>
      </c>
      <c r="D79" s="273" t="s">
        <v>409</v>
      </c>
      <c r="E79" s="273" t="s">
        <v>360</v>
      </c>
      <c r="F79" s="275" t="s">
        <v>10</v>
      </c>
      <c r="G79" s="271">
        <v>3.5</v>
      </c>
      <c r="H79" s="272">
        <v>71</v>
      </c>
      <c r="I79" s="272"/>
      <c r="J79" s="182">
        <f t="shared" si="10"/>
        <v>71</v>
      </c>
      <c r="K79" s="276"/>
      <c r="L79" s="276"/>
      <c r="M79" s="276"/>
      <c r="N79" s="276">
        <v>2</v>
      </c>
      <c r="O79" s="276"/>
      <c r="P79" s="276"/>
      <c r="Q79" s="276"/>
      <c r="R79" s="276"/>
      <c r="S79" s="276"/>
      <c r="T79" s="276"/>
      <c r="U79" s="276"/>
      <c r="V79" s="276"/>
      <c r="W79" s="276"/>
      <c r="X79" s="276"/>
      <c r="Y79" s="276"/>
      <c r="Z79" s="276"/>
      <c r="AA79" s="276"/>
      <c r="AB79" s="276"/>
      <c r="AC79" s="276"/>
      <c r="AD79" s="276"/>
      <c r="AE79" s="276"/>
      <c r="AF79" s="276"/>
      <c r="AG79" s="276"/>
      <c r="AH79" s="276"/>
      <c r="AI79" s="276"/>
      <c r="AJ79" s="276"/>
      <c r="AK79" s="276"/>
      <c r="AL79" s="276"/>
      <c r="AM79" s="276"/>
      <c r="AN79" s="276"/>
      <c r="AO79" s="276"/>
      <c r="AP79" s="182">
        <f t="shared" si="11"/>
        <v>2</v>
      </c>
      <c r="AQ79" s="182">
        <f t="shared" si="12"/>
        <v>69</v>
      </c>
      <c r="AR79" s="182">
        <f t="shared" si="13"/>
        <v>7</v>
      </c>
      <c r="AS79" s="182">
        <f t="shared" si="14"/>
        <v>241.5</v>
      </c>
      <c r="AT79" s="182">
        <f t="shared" si="15"/>
        <v>0</v>
      </c>
      <c r="AU79" s="174"/>
      <c r="AV79" s="174"/>
      <c r="AW79" s="182">
        <f t="shared" si="16"/>
        <v>0</v>
      </c>
      <c r="AX79" s="179"/>
    </row>
    <row r="80" spans="2:50" s="149" customFormat="1">
      <c r="B80" s="278">
        <v>75</v>
      </c>
      <c r="C80" s="267" t="s">
        <v>271</v>
      </c>
      <c r="D80" s="273"/>
      <c r="E80" s="273"/>
      <c r="F80" s="275"/>
      <c r="G80" s="271"/>
      <c r="H80" s="272">
        <v>0</v>
      </c>
      <c r="I80" s="272"/>
      <c r="J80" s="182"/>
      <c r="K80" s="276"/>
      <c r="L80" s="276"/>
      <c r="M80" s="276"/>
      <c r="N80" s="276"/>
      <c r="O80" s="276"/>
      <c r="P80" s="276"/>
      <c r="Q80" s="276"/>
      <c r="R80" s="276"/>
      <c r="S80" s="276"/>
      <c r="T80" s="276"/>
      <c r="U80" s="276"/>
      <c r="V80" s="276"/>
      <c r="W80" s="276"/>
      <c r="X80" s="276"/>
      <c r="Y80" s="276"/>
      <c r="Z80" s="276"/>
      <c r="AA80" s="276"/>
      <c r="AB80" s="276"/>
      <c r="AC80" s="276"/>
      <c r="AD80" s="276"/>
      <c r="AE80" s="276"/>
      <c r="AF80" s="276"/>
      <c r="AG80" s="276"/>
      <c r="AH80" s="276"/>
      <c r="AI80" s="276"/>
      <c r="AJ80" s="276"/>
      <c r="AK80" s="276"/>
      <c r="AL80" s="276"/>
      <c r="AM80" s="276"/>
      <c r="AN80" s="276"/>
      <c r="AO80" s="276"/>
      <c r="AP80" s="182">
        <f t="shared" si="11"/>
        <v>0</v>
      </c>
      <c r="AQ80" s="182">
        <f t="shared" si="12"/>
        <v>0</v>
      </c>
      <c r="AR80" s="182">
        <f t="shared" si="13"/>
        <v>0</v>
      </c>
      <c r="AS80" s="182">
        <f t="shared" si="14"/>
        <v>0</v>
      </c>
      <c r="AT80" s="182">
        <f t="shared" si="15"/>
        <v>0</v>
      </c>
      <c r="AU80" s="174"/>
      <c r="AV80" s="174"/>
      <c r="AW80" s="182">
        <f t="shared" si="16"/>
        <v>0</v>
      </c>
      <c r="AX80" s="179"/>
    </row>
    <row r="81" spans="1:1019" s="149" customFormat="1" ht="12.75">
      <c r="B81" s="173"/>
      <c r="C81" s="173"/>
      <c r="D81" s="169" t="s">
        <v>52</v>
      </c>
      <c r="E81" s="169"/>
      <c r="F81" s="180"/>
      <c r="G81" s="180"/>
      <c r="H81" s="176">
        <f t="shared" ref="H81:AT81" si="17">SUM(H6:H80)</f>
        <v>579</v>
      </c>
      <c r="I81" s="176">
        <f t="shared" si="17"/>
        <v>1405</v>
      </c>
      <c r="J81" s="176">
        <f t="shared" si="17"/>
        <v>1984</v>
      </c>
      <c r="K81" s="176">
        <f t="shared" si="17"/>
        <v>0</v>
      </c>
      <c r="L81" s="176">
        <f t="shared" si="17"/>
        <v>69</v>
      </c>
      <c r="M81" s="176">
        <f t="shared" si="17"/>
        <v>63</v>
      </c>
      <c r="N81" s="176">
        <f t="shared" si="17"/>
        <v>61</v>
      </c>
      <c r="O81" s="176">
        <f t="shared" si="17"/>
        <v>63</v>
      </c>
      <c r="P81" s="176">
        <f t="shared" si="17"/>
        <v>63</v>
      </c>
      <c r="Q81" s="176">
        <f t="shared" si="17"/>
        <v>7</v>
      </c>
      <c r="R81" s="176">
        <f t="shared" si="17"/>
        <v>2</v>
      </c>
      <c r="S81" s="176">
        <f t="shared" si="17"/>
        <v>61</v>
      </c>
      <c r="T81" s="176">
        <f t="shared" si="17"/>
        <v>66</v>
      </c>
      <c r="U81" s="176">
        <f t="shared" si="17"/>
        <v>55</v>
      </c>
      <c r="V81" s="176">
        <f t="shared" si="17"/>
        <v>58</v>
      </c>
      <c r="W81" s="176">
        <f t="shared" si="17"/>
        <v>61</v>
      </c>
      <c r="X81" s="176">
        <f t="shared" si="17"/>
        <v>0</v>
      </c>
      <c r="Y81" s="176">
        <f t="shared" si="17"/>
        <v>0</v>
      </c>
      <c r="Z81" s="176">
        <f t="shared" si="17"/>
        <v>78</v>
      </c>
      <c r="AA81" s="176">
        <f t="shared" si="17"/>
        <v>63</v>
      </c>
      <c r="AB81" s="176">
        <f t="shared" si="17"/>
        <v>25</v>
      </c>
      <c r="AC81" s="176">
        <f t="shared" si="17"/>
        <v>0</v>
      </c>
      <c r="AD81" s="176">
        <f t="shared" si="17"/>
        <v>0</v>
      </c>
      <c r="AE81" s="176">
        <f t="shared" si="17"/>
        <v>0</v>
      </c>
      <c r="AF81" s="176">
        <f t="shared" si="17"/>
        <v>0</v>
      </c>
      <c r="AG81" s="176">
        <f t="shared" si="17"/>
        <v>0</v>
      </c>
      <c r="AH81" s="176">
        <f t="shared" si="17"/>
        <v>0</v>
      </c>
      <c r="AI81" s="176">
        <f t="shared" si="17"/>
        <v>0</v>
      </c>
      <c r="AJ81" s="176">
        <f t="shared" si="17"/>
        <v>0</v>
      </c>
      <c r="AK81" s="176">
        <f t="shared" si="17"/>
        <v>0</v>
      </c>
      <c r="AL81" s="176">
        <f t="shared" si="17"/>
        <v>0</v>
      </c>
      <c r="AM81" s="176">
        <f t="shared" si="17"/>
        <v>0</v>
      </c>
      <c r="AN81" s="176">
        <f t="shared" si="17"/>
        <v>0</v>
      </c>
      <c r="AO81" s="176">
        <f t="shared" si="17"/>
        <v>0</v>
      </c>
      <c r="AP81" s="176">
        <f t="shared" si="17"/>
        <v>795</v>
      </c>
      <c r="AQ81" s="176">
        <f t="shared" si="17"/>
        <v>1189</v>
      </c>
      <c r="AR81" s="176">
        <f t="shared" si="17"/>
        <v>23747</v>
      </c>
      <c r="AS81" s="176">
        <f t="shared" si="17"/>
        <v>51402.5</v>
      </c>
      <c r="AT81" s="176">
        <f t="shared" si="17"/>
        <v>43843</v>
      </c>
      <c r="AU81" s="181"/>
      <c r="AV81" s="181"/>
      <c r="AW81" s="176">
        <f>SUM(AW6:AW80)</f>
        <v>43843</v>
      </c>
      <c r="AX81" s="176">
        <f>SUM(AX6:AX80)</f>
        <v>0</v>
      </c>
    </row>
    <row r="82" spans="1:1019" s="149" customFormat="1">
      <c r="A82" s="178"/>
      <c r="D82" s="150"/>
      <c r="E82" s="150"/>
      <c r="F82" s="150"/>
      <c r="G82" s="151"/>
      <c r="H82" s="152"/>
      <c r="I82" s="151"/>
      <c r="AL82" s="153"/>
      <c r="AQ82" s="151"/>
    </row>
    <row r="83" spans="1:1019" s="149" customFormat="1">
      <c r="A83" s="178"/>
      <c r="D83" s="150"/>
      <c r="E83" s="150"/>
      <c r="F83" s="150"/>
      <c r="G83" s="151"/>
      <c r="H83" s="152"/>
      <c r="I83" s="151"/>
      <c r="AL83" s="153"/>
      <c r="AQ83" s="151"/>
    </row>
    <row r="84" spans="1:1019" s="149" customFormat="1">
      <c r="A84" s="178"/>
      <c r="D84" s="150"/>
      <c r="E84" s="150"/>
      <c r="F84" s="150"/>
      <c r="G84" s="151"/>
      <c r="H84" s="152"/>
      <c r="I84" s="151"/>
      <c r="AL84" s="153"/>
      <c r="AQ84" s="151"/>
    </row>
    <row r="85" spans="1:1019" s="149" customFormat="1">
      <c r="A85" s="178"/>
      <c r="D85" s="150"/>
      <c r="E85" s="150"/>
      <c r="F85" s="150"/>
      <c r="G85" s="151"/>
      <c r="H85" s="152"/>
      <c r="I85" s="151"/>
      <c r="AL85" s="153"/>
      <c r="AQ85" s="151"/>
    </row>
    <row r="86" spans="1:1019" s="151" customFormat="1" hidden="1">
      <c r="A86" s="178"/>
      <c r="B86" s="149"/>
      <c r="C86" s="149"/>
      <c r="D86" s="150"/>
      <c r="E86" s="150"/>
      <c r="F86" s="150"/>
      <c r="H86" s="152">
        <v>9</v>
      </c>
      <c r="J86" s="149"/>
      <c r="K86" s="149"/>
      <c r="L86" s="149"/>
      <c r="M86" s="149"/>
      <c r="N86" s="149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53"/>
      <c r="AM86" s="149"/>
      <c r="AN86" s="149"/>
      <c r="AO86" s="149"/>
      <c r="AP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49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49"/>
      <c r="BX86" s="149"/>
      <c r="BY86" s="149"/>
      <c r="BZ86" s="149"/>
      <c r="CA86" s="149"/>
      <c r="CB86" s="149"/>
      <c r="CC86" s="149"/>
      <c r="CD86" s="149"/>
      <c r="CE86" s="149"/>
      <c r="CF86" s="149"/>
      <c r="CG86" s="149"/>
      <c r="CH86" s="149"/>
      <c r="CI86" s="149"/>
      <c r="CJ86" s="149"/>
      <c r="CK86" s="149"/>
      <c r="CL86" s="149"/>
      <c r="CM86" s="149"/>
      <c r="CN86" s="149"/>
      <c r="CO86" s="149"/>
      <c r="CP86" s="149"/>
      <c r="CQ86" s="149"/>
      <c r="CR86" s="149"/>
      <c r="CS86" s="149"/>
      <c r="CT86" s="149"/>
      <c r="CU86" s="149"/>
      <c r="CV86" s="149"/>
      <c r="CW86" s="149"/>
      <c r="CX86" s="149"/>
      <c r="CY86" s="149"/>
      <c r="CZ86" s="149"/>
      <c r="DA86" s="149"/>
      <c r="DB86" s="149"/>
      <c r="DC86" s="149"/>
      <c r="DD86" s="149"/>
      <c r="DE86" s="149"/>
      <c r="DF86" s="149"/>
      <c r="DG86" s="149"/>
      <c r="DH86" s="149"/>
      <c r="DI86" s="149"/>
      <c r="DJ86" s="149"/>
      <c r="DK86" s="149"/>
      <c r="DL86" s="149"/>
      <c r="DM86" s="149"/>
      <c r="DN86" s="149"/>
      <c r="DO86" s="149"/>
      <c r="DP86" s="149"/>
      <c r="DQ86" s="149"/>
      <c r="DR86" s="149"/>
      <c r="DS86" s="149"/>
      <c r="DT86" s="149"/>
      <c r="DU86" s="149"/>
      <c r="DV86" s="149"/>
      <c r="DW86" s="149"/>
      <c r="DX86" s="149"/>
      <c r="DY86" s="149"/>
      <c r="DZ86" s="149"/>
      <c r="EA86" s="149"/>
      <c r="EB86" s="149"/>
      <c r="EC86" s="149"/>
      <c r="ED86" s="149"/>
      <c r="EE86" s="149"/>
      <c r="EF86" s="149"/>
      <c r="EG86" s="149"/>
      <c r="EH86" s="149"/>
      <c r="EI86" s="149"/>
      <c r="EJ86" s="149"/>
      <c r="EK86" s="149"/>
      <c r="EL86" s="149"/>
      <c r="EM86" s="149"/>
      <c r="EN86" s="149"/>
      <c r="EO86" s="149"/>
      <c r="EP86" s="149"/>
      <c r="EQ86" s="149"/>
      <c r="ER86" s="149"/>
      <c r="ES86" s="149"/>
      <c r="ET86" s="149"/>
      <c r="EU86" s="149"/>
      <c r="EV86" s="149"/>
      <c r="EW86" s="149"/>
      <c r="EX86" s="149"/>
      <c r="EY86" s="149"/>
      <c r="EZ86" s="149"/>
      <c r="FA86" s="149"/>
      <c r="FB86" s="149"/>
      <c r="FC86" s="149"/>
      <c r="FD86" s="149"/>
      <c r="FE86" s="149"/>
      <c r="FF86" s="149"/>
      <c r="FG86" s="149"/>
      <c r="FH86" s="149"/>
      <c r="FI86" s="149"/>
      <c r="FJ86" s="149"/>
      <c r="FK86" s="149"/>
      <c r="FL86" s="149"/>
      <c r="FM86" s="149"/>
      <c r="FN86" s="149"/>
      <c r="FO86" s="149"/>
      <c r="FP86" s="149"/>
      <c r="FQ86" s="149"/>
      <c r="FR86" s="149"/>
      <c r="FS86" s="149"/>
      <c r="FT86" s="149"/>
      <c r="FU86" s="149"/>
      <c r="FV86" s="149"/>
      <c r="FW86" s="149"/>
      <c r="FX86" s="149"/>
      <c r="FY86" s="149"/>
      <c r="FZ86" s="149"/>
      <c r="GA86" s="149"/>
      <c r="GB86" s="149"/>
      <c r="GC86" s="149"/>
      <c r="GD86" s="149"/>
      <c r="GE86" s="149"/>
      <c r="GF86" s="149"/>
      <c r="GG86" s="149"/>
      <c r="GH86" s="149"/>
      <c r="GI86" s="149"/>
      <c r="GJ86" s="149"/>
      <c r="GK86" s="149"/>
      <c r="GL86" s="149"/>
      <c r="GM86" s="149"/>
      <c r="GN86" s="149"/>
      <c r="GO86" s="149"/>
      <c r="GP86" s="149"/>
      <c r="GQ86" s="149"/>
      <c r="GR86" s="149"/>
      <c r="GS86" s="149"/>
      <c r="GT86" s="149"/>
      <c r="GU86" s="149"/>
      <c r="GV86" s="149"/>
      <c r="GW86" s="149"/>
      <c r="GX86" s="149"/>
      <c r="GY86" s="149"/>
      <c r="GZ86" s="149"/>
      <c r="HA86" s="149"/>
      <c r="HB86" s="149"/>
      <c r="HC86" s="149"/>
      <c r="HD86" s="149"/>
      <c r="HE86" s="149"/>
      <c r="HF86" s="149"/>
      <c r="HG86" s="149"/>
      <c r="HH86" s="149"/>
      <c r="HI86" s="149"/>
      <c r="HJ86" s="149"/>
      <c r="HK86" s="149"/>
      <c r="HL86" s="149"/>
      <c r="HM86" s="149"/>
      <c r="HN86" s="149"/>
      <c r="HO86" s="149"/>
      <c r="HP86" s="149"/>
      <c r="HQ86" s="149"/>
      <c r="HR86" s="149"/>
      <c r="HS86" s="149"/>
      <c r="HT86" s="149"/>
      <c r="HU86" s="149"/>
      <c r="HV86" s="149"/>
      <c r="HW86" s="149"/>
      <c r="HX86" s="149"/>
      <c r="HY86" s="149"/>
      <c r="HZ86" s="149"/>
      <c r="IA86" s="149"/>
      <c r="IB86" s="149"/>
      <c r="IC86" s="149"/>
      <c r="ID86" s="149"/>
      <c r="IE86" s="149"/>
      <c r="IF86" s="149"/>
      <c r="IG86" s="149"/>
      <c r="IH86" s="149"/>
      <c r="II86" s="149"/>
      <c r="IJ86" s="149"/>
      <c r="IK86" s="149"/>
      <c r="IL86" s="149"/>
      <c r="IM86" s="149"/>
      <c r="IN86" s="149"/>
      <c r="IO86" s="149"/>
      <c r="IP86" s="149"/>
      <c r="IQ86" s="149"/>
      <c r="IR86" s="149"/>
      <c r="IS86" s="149"/>
      <c r="IT86" s="149"/>
      <c r="IU86" s="149"/>
      <c r="IV86" s="149"/>
      <c r="IW86" s="149"/>
      <c r="IX86" s="149"/>
      <c r="IY86" s="149"/>
      <c r="IZ86" s="149"/>
      <c r="JA86" s="149"/>
      <c r="JB86" s="149"/>
      <c r="JC86" s="149"/>
      <c r="JD86" s="149"/>
      <c r="JE86" s="149"/>
      <c r="JF86" s="149"/>
      <c r="JG86" s="149"/>
      <c r="JH86" s="149"/>
      <c r="JI86" s="149"/>
      <c r="JJ86" s="149"/>
      <c r="JK86" s="149"/>
      <c r="JL86" s="149"/>
      <c r="JM86" s="149"/>
      <c r="JN86" s="149"/>
      <c r="JO86" s="149"/>
      <c r="JP86" s="149"/>
      <c r="JQ86" s="149"/>
      <c r="JR86" s="149"/>
      <c r="JS86" s="149"/>
      <c r="JT86" s="149"/>
      <c r="JU86" s="149"/>
      <c r="JV86" s="149"/>
      <c r="JW86" s="149"/>
      <c r="JX86" s="149"/>
      <c r="JY86" s="149"/>
      <c r="JZ86" s="149"/>
      <c r="KA86" s="149"/>
      <c r="KB86" s="149"/>
      <c r="KC86" s="149"/>
      <c r="KD86" s="149"/>
      <c r="KE86" s="149"/>
      <c r="KF86" s="149"/>
      <c r="KG86" s="149"/>
      <c r="KH86" s="149"/>
      <c r="KI86" s="149"/>
      <c r="KJ86" s="149"/>
      <c r="KK86" s="149"/>
      <c r="KL86" s="149"/>
      <c r="KM86" s="149"/>
      <c r="KN86" s="149"/>
      <c r="KO86" s="149"/>
      <c r="KP86" s="149"/>
      <c r="KQ86" s="149"/>
      <c r="KR86" s="149"/>
      <c r="KS86" s="149"/>
      <c r="KT86" s="149"/>
      <c r="KU86" s="149"/>
      <c r="KV86" s="149"/>
      <c r="KW86" s="149"/>
      <c r="KX86" s="149"/>
      <c r="KY86" s="149"/>
      <c r="KZ86" s="149"/>
      <c r="LA86" s="149"/>
      <c r="LB86" s="149"/>
      <c r="LC86" s="149"/>
      <c r="LD86" s="149"/>
      <c r="LE86" s="149"/>
      <c r="LF86" s="149"/>
      <c r="LG86" s="149"/>
      <c r="LH86" s="149"/>
      <c r="LI86" s="149"/>
      <c r="LJ86" s="149"/>
      <c r="LK86" s="149"/>
      <c r="LL86" s="149"/>
      <c r="LM86" s="149"/>
      <c r="LN86" s="149"/>
      <c r="LO86" s="149"/>
      <c r="LP86" s="149"/>
      <c r="LQ86" s="149"/>
      <c r="LR86" s="149"/>
      <c r="LS86" s="149"/>
      <c r="LT86" s="149"/>
      <c r="LU86" s="149"/>
      <c r="LV86" s="149"/>
      <c r="LW86" s="149"/>
      <c r="LX86" s="149"/>
      <c r="LY86" s="149"/>
      <c r="LZ86" s="149"/>
      <c r="MA86" s="149"/>
      <c r="MB86" s="149"/>
      <c r="MC86" s="149"/>
      <c r="MD86" s="149"/>
      <c r="ME86" s="149"/>
      <c r="MF86" s="149"/>
      <c r="MG86" s="149"/>
      <c r="MH86" s="149"/>
      <c r="MI86" s="149"/>
      <c r="MJ86" s="149"/>
      <c r="MK86" s="149"/>
      <c r="ML86" s="149"/>
      <c r="MM86" s="149"/>
      <c r="MN86" s="149"/>
      <c r="MO86" s="149"/>
      <c r="MP86" s="149"/>
      <c r="MQ86" s="149"/>
      <c r="MR86" s="149"/>
      <c r="MS86" s="149"/>
      <c r="MT86" s="149"/>
      <c r="MU86" s="149"/>
      <c r="MV86" s="149"/>
      <c r="MW86" s="149"/>
      <c r="MX86" s="149"/>
      <c r="MY86" s="149"/>
      <c r="MZ86" s="149"/>
      <c r="NA86" s="149"/>
      <c r="NB86" s="149"/>
      <c r="NC86" s="149"/>
      <c r="ND86" s="149"/>
      <c r="NE86" s="149"/>
      <c r="NF86" s="149"/>
      <c r="NG86" s="149"/>
      <c r="NH86" s="149"/>
      <c r="NI86" s="149"/>
      <c r="NJ86" s="149"/>
      <c r="NK86" s="149"/>
      <c r="NL86" s="149"/>
      <c r="NM86" s="149"/>
      <c r="NN86" s="149"/>
      <c r="NO86" s="149"/>
      <c r="NP86" s="149"/>
      <c r="NQ86" s="149"/>
      <c r="NR86" s="149"/>
      <c r="NS86" s="149"/>
      <c r="NT86" s="149"/>
      <c r="NU86" s="149"/>
      <c r="NV86" s="149"/>
      <c r="NW86" s="149"/>
      <c r="NX86" s="149"/>
      <c r="NY86" s="149"/>
      <c r="NZ86" s="149"/>
      <c r="OA86" s="149"/>
      <c r="OB86" s="149"/>
      <c r="OC86" s="149"/>
      <c r="OD86" s="149"/>
      <c r="OE86" s="149"/>
      <c r="OF86" s="149"/>
      <c r="OG86" s="149"/>
      <c r="OH86" s="149"/>
      <c r="OI86" s="149"/>
      <c r="OJ86" s="149"/>
      <c r="OK86" s="149"/>
      <c r="OL86" s="149"/>
      <c r="OM86" s="149"/>
      <c r="ON86" s="149"/>
      <c r="OO86" s="149"/>
      <c r="OP86" s="149"/>
      <c r="OQ86" s="149"/>
      <c r="OR86" s="149"/>
      <c r="OS86" s="149"/>
      <c r="OT86" s="149"/>
      <c r="OU86" s="149"/>
      <c r="OV86" s="149"/>
      <c r="OW86" s="149"/>
      <c r="OX86" s="149"/>
      <c r="OY86" s="149"/>
      <c r="OZ86" s="149"/>
      <c r="PA86" s="149"/>
      <c r="PB86" s="149"/>
      <c r="PC86" s="149"/>
      <c r="PD86" s="149"/>
      <c r="PE86" s="149"/>
      <c r="PF86" s="149"/>
      <c r="PG86" s="149"/>
      <c r="PH86" s="149"/>
      <c r="PI86" s="149"/>
      <c r="PJ86" s="149"/>
      <c r="PK86" s="149"/>
      <c r="PL86" s="149"/>
      <c r="PM86" s="149"/>
      <c r="PN86" s="149"/>
      <c r="PO86" s="149"/>
      <c r="PP86" s="149"/>
      <c r="PQ86" s="149"/>
      <c r="PR86" s="149"/>
      <c r="PS86" s="149"/>
      <c r="PT86" s="149"/>
      <c r="PU86" s="149"/>
      <c r="PV86" s="149"/>
      <c r="PW86" s="149"/>
      <c r="PX86" s="149"/>
      <c r="PY86" s="149"/>
      <c r="PZ86" s="149"/>
      <c r="QA86" s="149"/>
      <c r="QB86" s="149"/>
      <c r="QC86" s="149"/>
      <c r="QD86" s="149"/>
      <c r="QE86" s="149"/>
      <c r="QF86" s="149"/>
      <c r="QG86" s="149"/>
      <c r="QH86" s="149"/>
      <c r="QI86" s="149"/>
      <c r="QJ86" s="149"/>
      <c r="QK86" s="149"/>
      <c r="QL86" s="149"/>
      <c r="QM86" s="149"/>
      <c r="QN86" s="149"/>
      <c r="QO86" s="149"/>
      <c r="QP86" s="149"/>
      <c r="QQ86" s="149"/>
      <c r="QR86" s="149"/>
      <c r="QS86" s="149"/>
      <c r="QT86" s="149"/>
      <c r="QU86" s="149"/>
      <c r="QV86" s="149"/>
      <c r="QW86" s="149"/>
      <c r="QX86" s="149"/>
      <c r="QY86" s="149"/>
      <c r="QZ86" s="149"/>
      <c r="RA86" s="149"/>
      <c r="RB86" s="149"/>
      <c r="RC86" s="149"/>
      <c r="RD86" s="149"/>
      <c r="RE86" s="149"/>
      <c r="RF86" s="149"/>
      <c r="RG86" s="149"/>
      <c r="RH86" s="149"/>
      <c r="RI86" s="149"/>
      <c r="RJ86" s="149"/>
      <c r="RK86" s="149"/>
      <c r="RL86" s="149"/>
      <c r="RM86" s="149"/>
      <c r="RN86" s="149"/>
      <c r="RO86" s="149"/>
      <c r="RP86" s="149"/>
      <c r="RQ86" s="149"/>
      <c r="RR86" s="149"/>
      <c r="RS86" s="149"/>
      <c r="RT86" s="149"/>
      <c r="RU86" s="149"/>
      <c r="RV86" s="149"/>
      <c r="RW86" s="149"/>
      <c r="RX86" s="149"/>
      <c r="RY86" s="149"/>
      <c r="RZ86" s="149"/>
      <c r="SA86" s="149"/>
      <c r="SB86" s="149"/>
      <c r="SC86" s="149"/>
      <c r="SD86" s="149"/>
      <c r="SE86" s="149"/>
      <c r="SF86" s="149"/>
      <c r="SG86" s="149"/>
      <c r="SH86" s="149"/>
      <c r="SI86" s="149"/>
      <c r="SJ86" s="149"/>
      <c r="SK86" s="149"/>
      <c r="SL86" s="149"/>
      <c r="SM86" s="149"/>
      <c r="SN86" s="149"/>
      <c r="SO86" s="149"/>
      <c r="SP86" s="149"/>
      <c r="SQ86" s="149"/>
      <c r="SR86" s="149"/>
      <c r="SS86" s="149"/>
      <c r="ST86" s="149"/>
      <c r="SU86" s="149"/>
      <c r="SV86" s="149"/>
      <c r="SW86" s="149"/>
      <c r="SX86" s="149"/>
      <c r="SY86" s="149"/>
      <c r="SZ86" s="149"/>
      <c r="TA86" s="149"/>
      <c r="TB86" s="149"/>
      <c r="TC86" s="149"/>
      <c r="TD86" s="149"/>
      <c r="TE86" s="149"/>
      <c r="TF86" s="149"/>
      <c r="TG86" s="149"/>
      <c r="TH86" s="149"/>
      <c r="TI86" s="149"/>
      <c r="TJ86" s="149"/>
      <c r="TK86" s="149"/>
      <c r="TL86" s="149"/>
      <c r="TM86" s="149"/>
      <c r="TN86" s="149"/>
      <c r="TO86" s="149"/>
      <c r="TP86" s="149"/>
      <c r="TQ86" s="149"/>
      <c r="TR86" s="149"/>
      <c r="TS86" s="149"/>
      <c r="TT86" s="149"/>
      <c r="TU86" s="149"/>
      <c r="TV86" s="149"/>
      <c r="TW86" s="149"/>
      <c r="TX86" s="149"/>
      <c r="TY86" s="149"/>
      <c r="TZ86" s="149"/>
      <c r="UA86" s="149"/>
      <c r="UB86" s="149"/>
      <c r="UC86" s="149"/>
      <c r="UD86" s="149"/>
      <c r="UE86" s="149"/>
      <c r="UF86" s="149"/>
      <c r="UG86" s="149"/>
      <c r="UH86" s="149"/>
      <c r="UI86" s="149"/>
      <c r="UJ86" s="149"/>
      <c r="UK86" s="149"/>
      <c r="UL86" s="149"/>
      <c r="UM86" s="149"/>
      <c r="UN86" s="149"/>
      <c r="UO86" s="149"/>
      <c r="UP86" s="149"/>
      <c r="UQ86" s="149"/>
      <c r="UR86" s="149"/>
      <c r="US86" s="149"/>
      <c r="UT86" s="149"/>
      <c r="UU86" s="149"/>
      <c r="UV86" s="149"/>
      <c r="UW86" s="149"/>
      <c r="UX86" s="149"/>
      <c r="UY86" s="149"/>
      <c r="UZ86" s="149"/>
      <c r="VA86" s="149"/>
      <c r="VB86" s="149"/>
      <c r="VC86" s="149"/>
      <c r="VD86" s="149"/>
      <c r="VE86" s="149"/>
      <c r="VF86" s="149"/>
      <c r="VG86" s="149"/>
      <c r="VH86" s="149"/>
      <c r="VI86" s="149"/>
      <c r="VJ86" s="149"/>
      <c r="VK86" s="149"/>
      <c r="VL86" s="149"/>
      <c r="VM86" s="149"/>
      <c r="VN86" s="149"/>
      <c r="VO86" s="149"/>
      <c r="VP86" s="149"/>
      <c r="VQ86" s="149"/>
      <c r="VR86" s="149"/>
      <c r="VS86" s="149"/>
      <c r="VT86" s="149"/>
      <c r="VU86" s="149"/>
      <c r="VV86" s="149"/>
      <c r="VW86" s="149"/>
      <c r="VX86" s="149"/>
      <c r="VY86" s="149"/>
      <c r="VZ86" s="149"/>
      <c r="WA86" s="149"/>
      <c r="WB86" s="149"/>
      <c r="WC86" s="149"/>
      <c r="WD86" s="149"/>
      <c r="WE86" s="149"/>
      <c r="WF86" s="149"/>
      <c r="WG86" s="149"/>
      <c r="WH86" s="149"/>
      <c r="WI86" s="149"/>
      <c r="WJ86" s="149"/>
      <c r="WK86" s="149"/>
      <c r="WL86" s="149"/>
      <c r="WM86" s="149"/>
      <c r="WN86" s="149"/>
      <c r="WO86" s="149"/>
      <c r="WP86" s="149"/>
      <c r="WQ86" s="149"/>
      <c r="WR86" s="149"/>
      <c r="WS86" s="149"/>
      <c r="WT86" s="149"/>
      <c r="WU86" s="149"/>
      <c r="WV86" s="149"/>
      <c r="WW86" s="149"/>
      <c r="WX86" s="149"/>
      <c r="WY86" s="149"/>
      <c r="WZ86" s="149"/>
      <c r="XA86" s="149"/>
      <c r="XB86" s="149"/>
      <c r="XC86" s="149"/>
      <c r="XD86" s="149"/>
      <c r="XE86" s="149"/>
      <c r="XF86" s="149"/>
      <c r="XG86" s="149"/>
      <c r="XH86" s="149"/>
      <c r="XI86" s="149"/>
      <c r="XJ86" s="149"/>
      <c r="XK86" s="149"/>
      <c r="XL86" s="149"/>
      <c r="XM86" s="149"/>
      <c r="XN86" s="149"/>
      <c r="XO86" s="149"/>
      <c r="XP86" s="149"/>
      <c r="XQ86" s="149"/>
      <c r="XR86" s="149"/>
      <c r="XS86" s="149"/>
      <c r="XT86" s="149"/>
      <c r="XU86" s="149"/>
      <c r="XV86" s="149"/>
      <c r="XW86" s="149"/>
      <c r="XX86" s="149"/>
      <c r="XY86" s="149"/>
      <c r="XZ86" s="149"/>
      <c r="YA86" s="149"/>
      <c r="YB86" s="149"/>
      <c r="YC86" s="149"/>
      <c r="YD86" s="149"/>
      <c r="YE86" s="149"/>
      <c r="YF86" s="149"/>
      <c r="YG86" s="149"/>
      <c r="YH86" s="149"/>
      <c r="YI86" s="149"/>
      <c r="YJ86" s="149"/>
      <c r="YK86" s="149"/>
      <c r="YL86" s="149"/>
      <c r="YM86" s="149"/>
      <c r="YN86" s="149"/>
      <c r="YO86" s="149"/>
      <c r="YP86" s="149"/>
      <c r="YQ86" s="149"/>
      <c r="YR86" s="149"/>
      <c r="YS86" s="149"/>
      <c r="YT86" s="149"/>
      <c r="YU86" s="149"/>
      <c r="YV86" s="149"/>
      <c r="YW86" s="149"/>
      <c r="YX86" s="149"/>
      <c r="YY86" s="149"/>
      <c r="YZ86" s="149"/>
      <c r="ZA86" s="149"/>
      <c r="ZB86" s="149"/>
      <c r="ZC86" s="149"/>
      <c r="ZD86" s="149"/>
      <c r="ZE86" s="149"/>
      <c r="ZF86" s="149"/>
      <c r="ZG86" s="149"/>
      <c r="ZH86" s="149"/>
      <c r="ZI86" s="149"/>
      <c r="ZJ86" s="149"/>
      <c r="ZK86" s="149"/>
      <c r="ZL86" s="149"/>
      <c r="ZM86" s="149"/>
      <c r="ZN86" s="149"/>
      <c r="ZO86" s="149"/>
      <c r="ZP86" s="149"/>
      <c r="ZQ86" s="149"/>
      <c r="ZR86" s="149"/>
      <c r="ZS86" s="149"/>
      <c r="ZT86" s="149"/>
      <c r="ZU86" s="149"/>
      <c r="ZV86" s="149"/>
      <c r="ZW86" s="149"/>
      <c r="ZX86" s="149"/>
      <c r="ZY86" s="149"/>
      <c r="ZZ86" s="149"/>
      <c r="AAA86" s="149"/>
      <c r="AAB86" s="149"/>
      <c r="AAC86" s="149"/>
      <c r="AAD86" s="149"/>
      <c r="AAE86" s="149"/>
      <c r="AAF86" s="149"/>
      <c r="AAG86" s="149"/>
      <c r="AAH86" s="149"/>
      <c r="AAI86" s="149"/>
      <c r="AAJ86" s="149"/>
      <c r="AAK86" s="149"/>
      <c r="AAL86" s="149"/>
      <c r="AAM86" s="149"/>
      <c r="AAN86" s="149"/>
      <c r="AAO86" s="149"/>
      <c r="AAP86" s="149"/>
      <c r="AAQ86" s="149"/>
      <c r="AAR86" s="149"/>
      <c r="AAS86" s="149"/>
      <c r="AAT86" s="149"/>
      <c r="AAU86" s="149"/>
      <c r="AAV86" s="149"/>
      <c r="AAW86" s="149"/>
      <c r="AAX86" s="149"/>
      <c r="AAY86" s="149"/>
      <c r="AAZ86" s="149"/>
      <c r="ABA86" s="149"/>
      <c r="ABB86" s="149"/>
      <c r="ABC86" s="149"/>
      <c r="ABD86" s="149"/>
      <c r="ABE86" s="149"/>
      <c r="ABF86" s="149"/>
      <c r="ABG86" s="149"/>
      <c r="ABH86" s="149"/>
      <c r="ABI86" s="149"/>
      <c r="ABJ86" s="149"/>
      <c r="ABK86" s="149"/>
      <c r="ABL86" s="149"/>
      <c r="ABM86" s="149"/>
      <c r="ABN86" s="149"/>
      <c r="ABO86" s="149"/>
      <c r="ABP86" s="149"/>
      <c r="ABQ86" s="149"/>
      <c r="ABR86" s="149"/>
      <c r="ABS86" s="149"/>
      <c r="ABT86" s="149"/>
      <c r="ABU86" s="149"/>
      <c r="ABV86" s="149"/>
      <c r="ABW86" s="149"/>
      <c r="ABX86" s="149"/>
      <c r="ABY86" s="149"/>
      <c r="ABZ86" s="149"/>
      <c r="ACA86" s="149"/>
      <c r="ACB86" s="149"/>
      <c r="ACC86" s="149"/>
      <c r="ACD86" s="149"/>
      <c r="ACE86" s="149"/>
      <c r="ACF86" s="149"/>
      <c r="ACG86" s="149"/>
      <c r="ACH86" s="149"/>
      <c r="ACI86" s="149"/>
      <c r="ACJ86" s="149"/>
      <c r="ACK86" s="149"/>
      <c r="ACL86" s="149"/>
      <c r="ACM86" s="149"/>
      <c r="ACN86" s="149"/>
      <c r="ACO86" s="149"/>
      <c r="ACP86" s="149"/>
      <c r="ACQ86" s="149"/>
      <c r="ACR86" s="149"/>
      <c r="ACS86" s="149"/>
      <c r="ACT86" s="149"/>
      <c r="ACU86" s="149"/>
      <c r="ACV86" s="149"/>
      <c r="ACW86" s="149"/>
      <c r="ACX86" s="149"/>
      <c r="ACY86" s="149"/>
      <c r="ACZ86" s="149"/>
      <c r="ADA86" s="149"/>
      <c r="ADB86" s="149"/>
      <c r="ADC86" s="149"/>
      <c r="ADD86" s="149"/>
      <c r="ADE86" s="149"/>
      <c r="ADF86" s="149"/>
      <c r="ADG86" s="149"/>
      <c r="ADH86" s="149"/>
      <c r="ADI86" s="149"/>
      <c r="ADJ86" s="149"/>
      <c r="ADK86" s="149"/>
      <c r="ADL86" s="149"/>
      <c r="ADM86" s="149"/>
      <c r="ADN86" s="149"/>
      <c r="ADO86" s="149"/>
      <c r="ADP86" s="149"/>
      <c r="ADQ86" s="149"/>
      <c r="ADR86" s="149"/>
      <c r="ADS86" s="149"/>
      <c r="ADT86" s="149"/>
      <c r="ADU86" s="149"/>
      <c r="ADV86" s="149"/>
      <c r="ADW86" s="149"/>
      <c r="ADX86" s="149"/>
      <c r="ADY86" s="149"/>
      <c r="ADZ86" s="149"/>
      <c r="AEA86" s="149"/>
      <c r="AEB86" s="149"/>
      <c r="AEC86" s="149"/>
      <c r="AED86" s="149"/>
      <c r="AEE86" s="149"/>
      <c r="AEF86" s="149"/>
      <c r="AEG86" s="149"/>
      <c r="AEH86" s="149"/>
      <c r="AEI86" s="149"/>
      <c r="AEJ86" s="149"/>
      <c r="AEK86" s="149"/>
      <c r="AEL86" s="149"/>
      <c r="AEM86" s="149"/>
      <c r="AEN86" s="149"/>
      <c r="AEO86" s="149"/>
      <c r="AEP86" s="149"/>
      <c r="AEQ86" s="149"/>
      <c r="AER86" s="149"/>
      <c r="AES86" s="149"/>
      <c r="AET86" s="149"/>
      <c r="AEU86" s="149"/>
      <c r="AEV86" s="149"/>
      <c r="AEW86" s="149"/>
      <c r="AEX86" s="149"/>
      <c r="AEY86" s="149"/>
      <c r="AEZ86" s="149"/>
      <c r="AFA86" s="149"/>
      <c r="AFB86" s="149"/>
      <c r="AFC86" s="149"/>
      <c r="AFD86" s="149"/>
      <c r="AFE86" s="149"/>
      <c r="AFF86" s="149"/>
      <c r="AFG86" s="149"/>
      <c r="AFH86" s="149"/>
      <c r="AFI86" s="149"/>
      <c r="AFJ86" s="149"/>
      <c r="AFK86" s="149"/>
      <c r="AFL86" s="149"/>
      <c r="AFM86" s="149"/>
      <c r="AFN86" s="149"/>
      <c r="AFO86" s="149"/>
      <c r="AFP86" s="149"/>
      <c r="AFQ86" s="149"/>
      <c r="AFR86" s="149"/>
      <c r="AFS86" s="149"/>
      <c r="AFT86" s="149"/>
      <c r="AFU86" s="149"/>
      <c r="AFV86" s="149"/>
      <c r="AFW86" s="149"/>
      <c r="AFX86" s="149"/>
      <c r="AFY86" s="149"/>
      <c r="AFZ86" s="149"/>
      <c r="AGA86" s="149"/>
      <c r="AGB86" s="149"/>
      <c r="AGC86" s="149"/>
      <c r="AGD86" s="149"/>
      <c r="AGE86" s="149"/>
      <c r="AGF86" s="149"/>
      <c r="AGG86" s="149"/>
      <c r="AGH86" s="149"/>
      <c r="AGI86" s="149"/>
      <c r="AGJ86" s="149"/>
      <c r="AGK86" s="149"/>
      <c r="AGL86" s="149"/>
      <c r="AGM86" s="149"/>
      <c r="AGN86" s="149"/>
      <c r="AGO86" s="149"/>
      <c r="AGP86" s="149"/>
      <c r="AGQ86" s="149"/>
      <c r="AGR86" s="149"/>
      <c r="AGS86" s="149"/>
      <c r="AGT86" s="149"/>
      <c r="AGU86" s="149"/>
      <c r="AGV86" s="149"/>
      <c r="AGW86" s="149"/>
      <c r="AGX86" s="149"/>
      <c r="AGY86" s="149"/>
      <c r="AGZ86" s="149"/>
      <c r="AHA86" s="149"/>
      <c r="AHB86" s="149"/>
      <c r="AHC86" s="149"/>
      <c r="AHD86" s="149"/>
      <c r="AHE86" s="149"/>
      <c r="AHF86" s="149"/>
      <c r="AHG86" s="149"/>
      <c r="AHH86" s="149"/>
      <c r="AHI86" s="149"/>
      <c r="AHJ86" s="149"/>
      <c r="AHK86" s="149"/>
      <c r="AHL86" s="149"/>
      <c r="AHM86" s="149"/>
      <c r="AHN86" s="149"/>
      <c r="AHO86" s="149"/>
      <c r="AHP86" s="149"/>
      <c r="AHQ86" s="149"/>
      <c r="AHR86" s="149"/>
      <c r="AHS86" s="149"/>
      <c r="AHT86" s="149"/>
      <c r="AHU86" s="149"/>
      <c r="AHV86" s="149"/>
      <c r="AHW86" s="149"/>
      <c r="AHX86" s="149"/>
      <c r="AHY86" s="149"/>
      <c r="AHZ86" s="149"/>
      <c r="AIA86" s="149"/>
      <c r="AIB86" s="149"/>
      <c r="AIC86" s="149"/>
      <c r="AID86" s="149"/>
      <c r="AIE86" s="149"/>
      <c r="AIF86" s="149"/>
      <c r="AIG86" s="149"/>
      <c r="AIH86" s="149"/>
      <c r="AII86" s="149"/>
      <c r="AIJ86" s="149"/>
      <c r="AIK86" s="149"/>
      <c r="AIL86" s="149"/>
      <c r="AIM86" s="149"/>
      <c r="AIN86" s="149"/>
      <c r="AIO86" s="149"/>
      <c r="AIP86" s="149"/>
      <c r="AIQ86" s="149"/>
      <c r="AIR86" s="149"/>
      <c r="AIS86" s="149"/>
      <c r="AIT86" s="149"/>
      <c r="AIU86" s="149"/>
      <c r="AIV86" s="149"/>
      <c r="AIW86" s="149"/>
      <c r="AIX86" s="149"/>
      <c r="AIY86" s="149"/>
      <c r="AIZ86" s="149"/>
      <c r="AJA86" s="149"/>
      <c r="AJB86" s="149"/>
      <c r="AJC86" s="149"/>
      <c r="AJD86" s="149"/>
      <c r="AJE86" s="149"/>
      <c r="AJF86" s="149"/>
      <c r="AJG86" s="149"/>
      <c r="AJH86" s="149"/>
      <c r="AJI86" s="149"/>
      <c r="AJJ86" s="149"/>
      <c r="AJK86" s="149"/>
      <c r="AJL86" s="149"/>
      <c r="AJM86" s="149"/>
      <c r="AJN86" s="149"/>
      <c r="AJO86" s="149"/>
      <c r="AJP86" s="149"/>
      <c r="AJQ86" s="149"/>
      <c r="AJR86" s="149"/>
      <c r="AJS86" s="149"/>
      <c r="AJT86" s="149"/>
      <c r="AJU86" s="149"/>
      <c r="AJV86" s="149"/>
      <c r="AJW86" s="149"/>
      <c r="AJX86" s="149"/>
      <c r="AJY86" s="149"/>
      <c r="AJZ86" s="149"/>
      <c r="AKA86" s="149"/>
      <c r="AKB86" s="149"/>
      <c r="AKC86" s="149"/>
      <c r="AKD86" s="149"/>
      <c r="AKE86" s="149"/>
      <c r="AKF86" s="149"/>
      <c r="AKG86" s="149"/>
      <c r="AKH86" s="149"/>
      <c r="AKI86" s="149"/>
      <c r="AKJ86" s="149"/>
      <c r="AKK86" s="149"/>
      <c r="AKL86" s="149"/>
      <c r="AKM86" s="149"/>
      <c r="AKN86" s="149"/>
      <c r="AKO86" s="149"/>
      <c r="AKP86" s="149"/>
      <c r="AKQ86" s="149"/>
      <c r="AKR86" s="149"/>
      <c r="AKS86" s="149"/>
      <c r="AKT86" s="149"/>
      <c r="AKU86" s="149"/>
      <c r="AKV86" s="149"/>
      <c r="AKW86" s="149"/>
      <c r="AKX86" s="149"/>
      <c r="AKY86" s="149"/>
      <c r="AKZ86" s="149"/>
      <c r="ALA86" s="149"/>
      <c r="ALB86" s="149"/>
      <c r="ALC86" s="149"/>
      <c r="ALD86" s="149"/>
      <c r="ALE86" s="149"/>
      <c r="ALF86" s="149"/>
      <c r="ALG86" s="149"/>
      <c r="ALH86" s="149"/>
      <c r="ALI86" s="149"/>
      <c r="ALJ86" s="149"/>
      <c r="ALK86" s="149"/>
      <c r="ALL86" s="149"/>
      <c r="ALM86" s="149"/>
      <c r="ALN86" s="149"/>
      <c r="ALO86" s="149"/>
      <c r="ALP86" s="149"/>
      <c r="ALQ86" s="149"/>
      <c r="ALR86" s="149"/>
      <c r="ALS86" s="149"/>
      <c r="ALT86" s="149"/>
      <c r="ALU86" s="149"/>
      <c r="ALV86" s="149"/>
      <c r="ALW86" s="149"/>
      <c r="ALX86" s="149"/>
      <c r="ALY86" s="149"/>
      <c r="ALZ86" s="149"/>
      <c r="AMA86" s="149"/>
      <c r="AMB86" s="149"/>
      <c r="AMC86" s="149"/>
      <c r="AMD86" s="149"/>
      <c r="AME86" s="149"/>
    </row>
    <row r="87" spans="1:1019" s="151" customFormat="1" hidden="1">
      <c r="A87" s="178"/>
      <c r="B87" s="149"/>
      <c r="C87" s="149"/>
      <c r="D87" s="150"/>
      <c r="E87" s="150"/>
      <c r="F87" s="150"/>
      <c r="H87" s="152">
        <v>0</v>
      </c>
      <c r="J87" s="149"/>
      <c r="K87" s="149"/>
      <c r="L87" s="149"/>
      <c r="M87" s="149"/>
      <c r="N87" s="149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53"/>
      <c r="AM87" s="149"/>
      <c r="AN87" s="149"/>
      <c r="AO87" s="149"/>
      <c r="AP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49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49"/>
      <c r="BX87" s="149"/>
      <c r="BY87" s="149"/>
      <c r="BZ87" s="149"/>
      <c r="CA87" s="149"/>
      <c r="CB87" s="149"/>
      <c r="CC87" s="149"/>
      <c r="CD87" s="149"/>
      <c r="CE87" s="149"/>
      <c r="CF87" s="149"/>
      <c r="CG87" s="149"/>
      <c r="CH87" s="149"/>
      <c r="CI87" s="149"/>
      <c r="CJ87" s="149"/>
      <c r="CK87" s="149"/>
      <c r="CL87" s="149"/>
      <c r="CM87" s="149"/>
      <c r="CN87" s="149"/>
      <c r="CO87" s="149"/>
      <c r="CP87" s="149"/>
      <c r="CQ87" s="149"/>
      <c r="CR87" s="149"/>
      <c r="CS87" s="149"/>
      <c r="CT87" s="149"/>
      <c r="CU87" s="149"/>
      <c r="CV87" s="149"/>
      <c r="CW87" s="149"/>
      <c r="CX87" s="149"/>
      <c r="CY87" s="149"/>
      <c r="CZ87" s="149"/>
      <c r="DA87" s="149"/>
      <c r="DB87" s="149"/>
      <c r="DC87" s="149"/>
      <c r="DD87" s="149"/>
      <c r="DE87" s="149"/>
      <c r="DF87" s="149"/>
      <c r="DG87" s="149"/>
      <c r="DH87" s="149"/>
      <c r="DI87" s="149"/>
      <c r="DJ87" s="149"/>
      <c r="DK87" s="149"/>
      <c r="DL87" s="149"/>
      <c r="DM87" s="149"/>
      <c r="DN87" s="149"/>
      <c r="DO87" s="149"/>
      <c r="DP87" s="149"/>
      <c r="DQ87" s="149"/>
      <c r="DR87" s="149"/>
      <c r="DS87" s="149"/>
      <c r="DT87" s="149"/>
      <c r="DU87" s="149"/>
      <c r="DV87" s="149"/>
      <c r="DW87" s="149"/>
      <c r="DX87" s="149"/>
      <c r="DY87" s="149"/>
      <c r="DZ87" s="149"/>
      <c r="EA87" s="149"/>
      <c r="EB87" s="149"/>
      <c r="EC87" s="149"/>
      <c r="ED87" s="149"/>
      <c r="EE87" s="149"/>
      <c r="EF87" s="149"/>
      <c r="EG87" s="149"/>
      <c r="EH87" s="149"/>
      <c r="EI87" s="149"/>
      <c r="EJ87" s="149"/>
      <c r="EK87" s="149"/>
      <c r="EL87" s="149"/>
      <c r="EM87" s="149"/>
      <c r="EN87" s="149"/>
      <c r="EO87" s="149"/>
      <c r="EP87" s="149"/>
      <c r="EQ87" s="149"/>
      <c r="ER87" s="149"/>
      <c r="ES87" s="149"/>
      <c r="ET87" s="149"/>
      <c r="EU87" s="149"/>
      <c r="EV87" s="149"/>
      <c r="EW87" s="149"/>
      <c r="EX87" s="149"/>
      <c r="EY87" s="149"/>
      <c r="EZ87" s="149"/>
      <c r="FA87" s="149"/>
      <c r="FB87" s="149"/>
      <c r="FC87" s="149"/>
      <c r="FD87" s="149"/>
      <c r="FE87" s="149"/>
      <c r="FF87" s="149"/>
      <c r="FG87" s="149"/>
      <c r="FH87" s="149"/>
      <c r="FI87" s="149"/>
      <c r="FJ87" s="149"/>
      <c r="FK87" s="149"/>
      <c r="FL87" s="149"/>
      <c r="FM87" s="149"/>
      <c r="FN87" s="149"/>
      <c r="FO87" s="149"/>
      <c r="FP87" s="149"/>
      <c r="FQ87" s="149"/>
      <c r="FR87" s="149"/>
      <c r="FS87" s="149"/>
      <c r="FT87" s="149"/>
      <c r="FU87" s="149"/>
      <c r="FV87" s="149"/>
      <c r="FW87" s="149"/>
      <c r="FX87" s="149"/>
      <c r="FY87" s="149"/>
      <c r="FZ87" s="149"/>
      <c r="GA87" s="149"/>
      <c r="GB87" s="149"/>
      <c r="GC87" s="149"/>
      <c r="GD87" s="149"/>
      <c r="GE87" s="149"/>
      <c r="GF87" s="149"/>
      <c r="GG87" s="149"/>
      <c r="GH87" s="149"/>
      <c r="GI87" s="149"/>
      <c r="GJ87" s="149"/>
      <c r="GK87" s="149"/>
      <c r="GL87" s="149"/>
      <c r="GM87" s="149"/>
      <c r="GN87" s="149"/>
      <c r="GO87" s="149"/>
      <c r="GP87" s="149"/>
      <c r="GQ87" s="149"/>
      <c r="GR87" s="149"/>
      <c r="GS87" s="149"/>
      <c r="GT87" s="149"/>
      <c r="GU87" s="149"/>
      <c r="GV87" s="149"/>
      <c r="GW87" s="149"/>
      <c r="GX87" s="149"/>
      <c r="GY87" s="149"/>
      <c r="GZ87" s="149"/>
      <c r="HA87" s="149"/>
      <c r="HB87" s="149"/>
      <c r="HC87" s="149"/>
      <c r="HD87" s="149"/>
      <c r="HE87" s="149"/>
      <c r="HF87" s="149"/>
      <c r="HG87" s="149"/>
      <c r="HH87" s="149"/>
      <c r="HI87" s="149"/>
      <c r="HJ87" s="149"/>
      <c r="HK87" s="149"/>
      <c r="HL87" s="149"/>
      <c r="HM87" s="149"/>
      <c r="HN87" s="149"/>
      <c r="HO87" s="149"/>
      <c r="HP87" s="149"/>
      <c r="HQ87" s="149"/>
      <c r="HR87" s="149"/>
      <c r="HS87" s="149"/>
      <c r="HT87" s="149"/>
      <c r="HU87" s="149"/>
      <c r="HV87" s="149"/>
      <c r="HW87" s="149"/>
      <c r="HX87" s="149"/>
      <c r="HY87" s="149"/>
      <c r="HZ87" s="149"/>
      <c r="IA87" s="149"/>
      <c r="IB87" s="149"/>
      <c r="IC87" s="149"/>
      <c r="ID87" s="149"/>
      <c r="IE87" s="149"/>
      <c r="IF87" s="149"/>
      <c r="IG87" s="149"/>
      <c r="IH87" s="149"/>
      <c r="II87" s="149"/>
      <c r="IJ87" s="149"/>
      <c r="IK87" s="149"/>
      <c r="IL87" s="149"/>
      <c r="IM87" s="149"/>
      <c r="IN87" s="149"/>
      <c r="IO87" s="149"/>
      <c r="IP87" s="149"/>
      <c r="IQ87" s="149"/>
      <c r="IR87" s="149"/>
      <c r="IS87" s="149"/>
      <c r="IT87" s="149"/>
      <c r="IU87" s="149"/>
      <c r="IV87" s="149"/>
      <c r="IW87" s="149"/>
      <c r="IX87" s="149"/>
      <c r="IY87" s="149"/>
      <c r="IZ87" s="149"/>
      <c r="JA87" s="149"/>
      <c r="JB87" s="149"/>
      <c r="JC87" s="149"/>
      <c r="JD87" s="149"/>
      <c r="JE87" s="149"/>
      <c r="JF87" s="149"/>
      <c r="JG87" s="149"/>
      <c r="JH87" s="149"/>
      <c r="JI87" s="149"/>
      <c r="JJ87" s="149"/>
      <c r="JK87" s="149"/>
      <c r="JL87" s="149"/>
      <c r="JM87" s="149"/>
      <c r="JN87" s="149"/>
      <c r="JO87" s="149"/>
      <c r="JP87" s="149"/>
      <c r="JQ87" s="149"/>
      <c r="JR87" s="149"/>
      <c r="JS87" s="149"/>
      <c r="JT87" s="149"/>
      <c r="JU87" s="149"/>
      <c r="JV87" s="149"/>
      <c r="JW87" s="149"/>
      <c r="JX87" s="149"/>
      <c r="JY87" s="149"/>
      <c r="JZ87" s="149"/>
      <c r="KA87" s="149"/>
      <c r="KB87" s="149"/>
      <c r="KC87" s="149"/>
      <c r="KD87" s="149"/>
      <c r="KE87" s="149"/>
      <c r="KF87" s="149"/>
      <c r="KG87" s="149"/>
      <c r="KH87" s="149"/>
      <c r="KI87" s="149"/>
      <c r="KJ87" s="149"/>
      <c r="KK87" s="149"/>
      <c r="KL87" s="149"/>
      <c r="KM87" s="149"/>
      <c r="KN87" s="149"/>
      <c r="KO87" s="149"/>
      <c r="KP87" s="149"/>
      <c r="KQ87" s="149"/>
      <c r="KR87" s="149"/>
      <c r="KS87" s="149"/>
      <c r="KT87" s="149"/>
      <c r="KU87" s="149"/>
      <c r="KV87" s="149"/>
      <c r="KW87" s="149"/>
      <c r="KX87" s="149"/>
      <c r="KY87" s="149"/>
      <c r="KZ87" s="149"/>
      <c r="LA87" s="149"/>
      <c r="LB87" s="149"/>
      <c r="LC87" s="149"/>
      <c r="LD87" s="149"/>
      <c r="LE87" s="149"/>
      <c r="LF87" s="149"/>
      <c r="LG87" s="149"/>
      <c r="LH87" s="149"/>
      <c r="LI87" s="149"/>
      <c r="LJ87" s="149"/>
      <c r="LK87" s="149"/>
      <c r="LL87" s="149"/>
      <c r="LM87" s="149"/>
      <c r="LN87" s="149"/>
      <c r="LO87" s="149"/>
      <c r="LP87" s="149"/>
      <c r="LQ87" s="149"/>
      <c r="LR87" s="149"/>
      <c r="LS87" s="149"/>
      <c r="LT87" s="149"/>
      <c r="LU87" s="149"/>
      <c r="LV87" s="149"/>
      <c r="LW87" s="149"/>
      <c r="LX87" s="149"/>
      <c r="LY87" s="149"/>
      <c r="LZ87" s="149"/>
      <c r="MA87" s="149"/>
      <c r="MB87" s="149"/>
      <c r="MC87" s="149"/>
      <c r="MD87" s="149"/>
      <c r="ME87" s="149"/>
      <c r="MF87" s="149"/>
      <c r="MG87" s="149"/>
      <c r="MH87" s="149"/>
      <c r="MI87" s="149"/>
      <c r="MJ87" s="149"/>
      <c r="MK87" s="149"/>
      <c r="ML87" s="149"/>
      <c r="MM87" s="149"/>
      <c r="MN87" s="149"/>
      <c r="MO87" s="149"/>
      <c r="MP87" s="149"/>
      <c r="MQ87" s="149"/>
      <c r="MR87" s="149"/>
      <c r="MS87" s="149"/>
      <c r="MT87" s="149"/>
      <c r="MU87" s="149"/>
      <c r="MV87" s="149"/>
      <c r="MW87" s="149"/>
      <c r="MX87" s="149"/>
      <c r="MY87" s="149"/>
      <c r="MZ87" s="149"/>
      <c r="NA87" s="149"/>
      <c r="NB87" s="149"/>
      <c r="NC87" s="149"/>
      <c r="ND87" s="149"/>
      <c r="NE87" s="149"/>
      <c r="NF87" s="149"/>
      <c r="NG87" s="149"/>
      <c r="NH87" s="149"/>
      <c r="NI87" s="149"/>
      <c r="NJ87" s="149"/>
      <c r="NK87" s="149"/>
      <c r="NL87" s="149"/>
      <c r="NM87" s="149"/>
      <c r="NN87" s="149"/>
      <c r="NO87" s="149"/>
      <c r="NP87" s="149"/>
      <c r="NQ87" s="149"/>
      <c r="NR87" s="149"/>
      <c r="NS87" s="149"/>
      <c r="NT87" s="149"/>
      <c r="NU87" s="149"/>
      <c r="NV87" s="149"/>
      <c r="NW87" s="149"/>
      <c r="NX87" s="149"/>
      <c r="NY87" s="149"/>
      <c r="NZ87" s="149"/>
      <c r="OA87" s="149"/>
      <c r="OB87" s="149"/>
      <c r="OC87" s="149"/>
      <c r="OD87" s="149"/>
      <c r="OE87" s="149"/>
      <c r="OF87" s="149"/>
      <c r="OG87" s="149"/>
      <c r="OH87" s="149"/>
      <c r="OI87" s="149"/>
      <c r="OJ87" s="149"/>
      <c r="OK87" s="149"/>
      <c r="OL87" s="149"/>
      <c r="OM87" s="149"/>
      <c r="ON87" s="149"/>
      <c r="OO87" s="149"/>
      <c r="OP87" s="149"/>
      <c r="OQ87" s="149"/>
      <c r="OR87" s="149"/>
      <c r="OS87" s="149"/>
      <c r="OT87" s="149"/>
      <c r="OU87" s="149"/>
      <c r="OV87" s="149"/>
      <c r="OW87" s="149"/>
      <c r="OX87" s="149"/>
      <c r="OY87" s="149"/>
      <c r="OZ87" s="149"/>
      <c r="PA87" s="149"/>
      <c r="PB87" s="149"/>
      <c r="PC87" s="149"/>
      <c r="PD87" s="149"/>
      <c r="PE87" s="149"/>
      <c r="PF87" s="149"/>
      <c r="PG87" s="149"/>
      <c r="PH87" s="149"/>
      <c r="PI87" s="149"/>
      <c r="PJ87" s="149"/>
      <c r="PK87" s="149"/>
      <c r="PL87" s="149"/>
      <c r="PM87" s="149"/>
      <c r="PN87" s="149"/>
      <c r="PO87" s="149"/>
      <c r="PP87" s="149"/>
      <c r="PQ87" s="149"/>
      <c r="PR87" s="149"/>
      <c r="PS87" s="149"/>
      <c r="PT87" s="149"/>
      <c r="PU87" s="149"/>
      <c r="PV87" s="149"/>
      <c r="PW87" s="149"/>
      <c r="PX87" s="149"/>
      <c r="PY87" s="149"/>
      <c r="PZ87" s="149"/>
      <c r="QA87" s="149"/>
      <c r="QB87" s="149"/>
      <c r="QC87" s="149"/>
      <c r="QD87" s="149"/>
      <c r="QE87" s="149"/>
      <c r="QF87" s="149"/>
      <c r="QG87" s="149"/>
      <c r="QH87" s="149"/>
      <c r="QI87" s="149"/>
      <c r="QJ87" s="149"/>
      <c r="QK87" s="149"/>
      <c r="QL87" s="149"/>
      <c r="QM87" s="149"/>
      <c r="QN87" s="149"/>
      <c r="QO87" s="149"/>
      <c r="QP87" s="149"/>
      <c r="QQ87" s="149"/>
      <c r="QR87" s="149"/>
      <c r="QS87" s="149"/>
      <c r="QT87" s="149"/>
      <c r="QU87" s="149"/>
      <c r="QV87" s="149"/>
      <c r="QW87" s="149"/>
      <c r="QX87" s="149"/>
      <c r="QY87" s="149"/>
      <c r="QZ87" s="149"/>
      <c r="RA87" s="149"/>
      <c r="RB87" s="149"/>
      <c r="RC87" s="149"/>
      <c r="RD87" s="149"/>
      <c r="RE87" s="149"/>
      <c r="RF87" s="149"/>
      <c r="RG87" s="149"/>
      <c r="RH87" s="149"/>
      <c r="RI87" s="149"/>
      <c r="RJ87" s="149"/>
      <c r="RK87" s="149"/>
      <c r="RL87" s="149"/>
      <c r="RM87" s="149"/>
      <c r="RN87" s="149"/>
      <c r="RO87" s="149"/>
      <c r="RP87" s="149"/>
      <c r="RQ87" s="149"/>
      <c r="RR87" s="149"/>
      <c r="RS87" s="149"/>
      <c r="RT87" s="149"/>
      <c r="RU87" s="149"/>
      <c r="RV87" s="149"/>
      <c r="RW87" s="149"/>
      <c r="RX87" s="149"/>
      <c r="RY87" s="149"/>
      <c r="RZ87" s="149"/>
      <c r="SA87" s="149"/>
      <c r="SB87" s="149"/>
      <c r="SC87" s="149"/>
      <c r="SD87" s="149"/>
      <c r="SE87" s="149"/>
      <c r="SF87" s="149"/>
      <c r="SG87" s="149"/>
      <c r="SH87" s="149"/>
      <c r="SI87" s="149"/>
      <c r="SJ87" s="149"/>
      <c r="SK87" s="149"/>
      <c r="SL87" s="149"/>
      <c r="SM87" s="149"/>
      <c r="SN87" s="149"/>
      <c r="SO87" s="149"/>
      <c r="SP87" s="149"/>
      <c r="SQ87" s="149"/>
      <c r="SR87" s="149"/>
      <c r="SS87" s="149"/>
      <c r="ST87" s="149"/>
      <c r="SU87" s="149"/>
      <c r="SV87" s="149"/>
      <c r="SW87" s="149"/>
      <c r="SX87" s="149"/>
      <c r="SY87" s="149"/>
      <c r="SZ87" s="149"/>
      <c r="TA87" s="149"/>
      <c r="TB87" s="149"/>
      <c r="TC87" s="149"/>
      <c r="TD87" s="149"/>
      <c r="TE87" s="149"/>
      <c r="TF87" s="149"/>
      <c r="TG87" s="149"/>
      <c r="TH87" s="149"/>
      <c r="TI87" s="149"/>
      <c r="TJ87" s="149"/>
      <c r="TK87" s="149"/>
      <c r="TL87" s="149"/>
      <c r="TM87" s="149"/>
      <c r="TN87" s="149"/>
      <c r="TO87" s="149"/>
      <c r="TP87" s="149"/>
      <c r="TQ87" s="149"/>
      <c r="TR87" s="149"/>
      <c r="TS87" s="149"/>
      <c r="TT87" s="149"/>
      <c r="TU87" s="149"/>
      <c r="TV87" s="149"/>
      <c r="TW87" s="149"/>
      <c r="TX87" s="149"/>
      <c r="TY87" s="149"/>
      <c r="TZ87" s="149"/>
      <c r="UA87" s="149"/>
      <c r="UB87" s="149"/>
      <c r="UC87" s="149"/>
      <c r="UD87" s="149"/>
      <c r="UE87" s="149"/>
      <c r="UF87" s="149"/>
      <c r="UG87" s="149"/>
      <c r="UH87" s="149"/>
      <c r="UI87" s="149"/>
      <c r="UJ87" s="149"/>
      <c r="UK87" s="149"/>
      <c r="UL87" s="149"/>
      <c r="UM87" s="149"/>
      <c r="UN87" s="149"/>
      <c r="UO87" s="149"/>
      <c r="UP87" s="149"/>
      <c r="UQ87" s="149"/>
      <c r="UR87" s="149"/>
      <c r="US87" s="149"/>
      <c r="UT87" s="149"/>
      <c r="UU87" s="149"/>
      <c r="UV87" s="149"/>
      <c r="UW87" s="149"/>
      <c r="UX87" s="149"/>
      <c r="UY87" s="149"/>
      <c r="UZ87" s="149"/>
      <c r="VA87" s="149"/>
      <c r="VB87" s="149"/>
      <c r="VC87" s="149"/>
      <c r="VD87" s="149"/>
      <c r="VE87" s="149"/>
      <c r="VF87" s="149"/>
      <c r="VG87" s="149"/>
      <c r="VH87" s="149"/>
      <c r="VI87" s="149"/>
      <c r="VJ87" s="149"/>
      <c r="VK87" s="149"/>
      <c r="VL87" s="149"/>
      <c r="VM87" s="149"/>
      <c r="VN87" s="149"/>
      <c r="VO87" s="149"/>
      <c r="VP87" s="149"/>
      <c r="VQ87" s="149"/>
      <c r="VR87" s="149"/>
      <c r="VS87" s="149"/>
      <c r="VT87" s="149"/>
      <c r="VU87" s="149"/>
      <c r="VV87" s="149"/>
      <c r="VW87" s="149"/>
      <c r="VX87" s="149"/>
      <c r="VY87" s="149"/>
      <c r="VZ87" s="149"/>
      <c r="WA87" s="149"/>
      <c r="WB87" s="149"/>
      <c r="WC87" s="149"/>
      <c r="WD87" s="149"/>
      <c r="WE87" s="149"/>
      <c r="WF87" s="149"/>
      <c r="WG87" s="149"/>
      <c r="WH87" s="149"/>
      <c r="WI87" s="149"/>
      <c r="WJ87" s="149"/>
      <c r="WK87" s="149"/>
      <c r="WL87" s="149"/>
      <c r="WM87" s="149"/>
      <c r="WN87" s="149"/>
      <c r="WO87" s="149"/>
      <c r="WP87" s="149"/>
      <c r="WQ87" s="149"/>
      <c r="WR87" s="149"/>
      <c r="WS87" s="149"/>
      <c r="WT87" s="149"/>
      <c r="WU87" s="149"/>
      <c r="WV87" s="149"/>
      <c r="WW87" s="149"/>
      <c r="WX87" s="149"/>
      <c r="WY87" s="149"/>
      <c r="WZ87" s="149"/>
      <c r="XA87" s="149"/>
      <c r="XB87" s="149"/>
      <c r="XC87" s="149"/>
      <c r="XD87" s="149"/>
      <c r="XE87" s="149"/>
      <c r="XF87" s="149"/>
      <c r="XG87" s="149"/>
      <c r="XH87" s="149"/>
      <c r="XI87" s="149"/>
      <c r="XJ87" s="149"/>
      <c r="XK87" s="149"/>
      <c r="XL87" s="149"/>
      <c r="XM87" s="149"/>
      <c r="XN87" s="149"/>
      <c r="XO87" s="149"/>
      <c r="XP87" s="149"/>
      <c r="XQ87" s="149"/>
      <c r="XR87" s="149"/>
      <c r="XS87" s="149"/>
      <c r="XT87" s="149"/>
      <c r="XU87" s="149"/>
      <c r="XV87" s="149"/>
      <c r="XW87" s="149"/>
      <c r="XX87" s="149"/>
      <c r="XY87" s="149"/>
      <c r="XZ87" s="149"/>
      <c r="YA87" s="149"/>
      <c r="YB87" s="149"/>
      <c r="YC87" s="149"/>
      <c r="YD87" s="149"/>
      <c r="YE87" s="149"/>
      <c r="YF87" s="149"/>
      <c r="YG87" s="149"/>
      <c r="YH87" s="149"/>
      <c r="YI87" s="149"/>
      <c r="YJ87" s="149"/>
      <c r="YK87" s="149"/>
      <c r="YL87" s="149"/>
      <c r="YM87" s="149"/>
      <c r="YN87" s="149"/>
      <c r="YO87" s="149"/>
      <c r="YP87" s="149"/>
      <c r="YQ87" s="149"/>
      <c r="YR87" s="149"/>
      <c r="YS87" s="149"/>
      <c r="YT87" s="149"/>
      <c r="YU87" s="149"/>
      <c r="YV87" s="149"/>
      <c r="YW87" s="149"/>
      <c r="YX87" s="149"/>
      <c r="YY87" s="149"/>
      <c r="YZ87" s="149"/>
      <c r="ZA87" s="149"/>
      <c r="ZB87" s="149"/>
      <c r="ZC87" s="149"/>
      <c r="ZD87" s="149"/>
      <c r="ZE87" s="149"/>
      <c r="ZF87" s="149"/>
      <c r="ZG87" s="149"/>
      <c r="ZH87" s="149"/>
      <c r="ZI87" s="149"/>
      <c r="ZJ87" s="149"/>
      <c r="ZK87" s="149"/>
      <c r="ZL87" s="149"/>
      <c r="ZM87" s="149"/>
      <c r="ZN87" s="149"/>
      <c r="ZO87" s="149"/>
      <c r="ZP87" s="149"/>
      <c r="ZQ87" s="149"/>
      <c r="ZR87" s="149"/>
      <c r="ZS87" s="149"/>
      <c r="ZT87" s="149"/>
      <c r="ZU87" s="149"/>
      <c r="ZV87" s="149"/>
      <c r="ZW87" s="149"/>
      <c r="ZX87" s="149"/>
      <c r="ZY87" s="149"/>
      <c r="ZZ87" s="149"/>
      <c r="AAA87" s="149"/>
      <c r="AAB87" s="149"/>
      <c r="AAC87" s="149"/>
      <c r="AAD87" s="149"/>
      <c r="AAE87" s="149"/>
      <c r="AAF87" s="149"/>
      <c r="AAG87" s="149"/>
      <c r="AAH87" s="149"/>
      <c r="AAI87" s="149"/>
      <c r="AAJ87" s="149"/>
      <c r="AAK87" s="149"/>
      <c r="AAL87" s="149"/>
      <c r="AAM87" s="149"/>
      <c r="AAN87" s="149"/>
      <c r="AAO87" s="149"/>
      <c r="AAP87" s="149"/>
      <c r="AAQ87" s="149"/>
      <c r="AAR87" s="149"/>
      <c r="AAS87" s="149"/>
      <c r="AAT87" s="149"/>
      <c r="AAU87" s="149"/>
      <c r="AAV87" s="149"/>
      <c r="AAW87" s="149"/>
      <c r="AAX87" s="149"/>
      <c r="AAY87" s="149"/>
      <c r="AAZ87" s="149"/>
      <c r="ABA87" s="149"/>
      <c r="ABB87" s="149"/>
      <c r="ABC87" s="149"/>
      <c r="ABD87" s="149"/>
      <c r="ABE87" s="149"/>
      <c r="ABF87" s="149"/>
      <c r="ABG87" s="149"/>
      <c r="ABH87" s="149"/>
      <c r="ABI87" s="149"/>
      <c r="ABJ87" s="149"/>
      <c r="ABK87" s="149"/>
      <c r="ABL87" s="149"/>
      <c r="ABM87" s="149"/>
      <c r="ABN87" s="149"/>
      <c r="ABO87" s="149"/>
      <c r="ABP87" s="149"/>
      <c r="ABQ87" s="149"/>
      <c r="ABR87" s="149"/>
      <c r="ABS87" s="149"/>
      <c r="ABT87" s="149"/>
      <c r="ABU87" s="149"/>
      <c r="ABV87" s="149"/>
      <c r="ABW87" s="149"/>
      <c r="ABX87" s="149"/>
      <c r="ABY87" s="149"/>
      <c r="ABZ87" s="149"/>
      <c r="ACA87" s="149"/>
      <c r="ACB87" s="149"/>
      <c r="ACC87" s="149"/>
      <c r="ACD87" s="149"/>
      <c r="ACE87" s="149"/>
      <c r="ACF87" s="149"/>
      <c r="ACG87" s="149"/>
      <c r="ACH87" s="149"/>
      <c r="ACI87" s="149"/>
      <c r="ACJ87" s="149"/>
      <c r="ACK87" s="149"/>
      <c r="ACL87" s="149"/>
      <c r="ACM87" s="149"/>
      <c r="ACN87" s="149"/>
      <c r="ACO87" s="149"/>
      <c r="ACP87" s="149"/>
      <c r="ACQ87" s="149"/>
      <c r="ACR87" s="149"/>
      <c r="ACS87" s="149"/>
      <c r="ACT87" s="149"/>
      <c r="ACU87" s="149"/>
      <c r="ACV87" s="149"/>
      <c r="ACW87" s="149"/>
      <c r="ACX87" s="149"/>
      <c r="ACY87" s="149"/>
      <c r="ACZ87" s="149"/>
      <c r="ADA87" s="149"/>
      <c r="ADB87" s="149"/>
      <c r="ADC87" s="149"/>
      <c r="ADD87" s="149"/>
      <c r="ADE87" s="149"/>
      <c r="ADF87" s="149"/>
      <c r="ADG87" s="149"/>
      <c r="ADH87" s="149"/>
      <c r="ADI87" s="149"/>
      <c r="ADJ87" s="149"/>
      <c r="ADK87" s="149"/>
      <c r="ADL87" s="149"/>
      <c r="ADM87" s="149"/>
      <c r="ADN87" s="149"/>
      <c r="ADO87" s="149"/>
      <c r="ADP87" s="149"/>
      <c r="ADQ87" s="149"/>
      <c r="ADR87" s="149"/>
      <c r="ADS87" s="149"/>
      <c r="ADT87" s="149"/>
      <c r="ADU87" s="149"/>
      <c r="ADV87" s="149"/>
      <c r="ADW87" s="149"/>
      <c r="ADX87" s="149"/>
      <c r="ADY87" s="149"/>
      <c r="ADZ87" s="149"/>
      <c r="AEA87" s="149"/>
      <c r="AEB87" s="149"/>
      <c r="AEC87" s="149"/>
      <c r="AED87" s="149"/>
      <c r="AEE87" s="149"/>
      <c r="AEF87" s="149"/>
      <c r="AEG87" s="149"/>
      <c r="AEH87" s="149"/>
      <c r="AEI87" s="149"/>
      <c r="AEJ87" s="149"/>
      <c r="AEK87" s="149"/>
      <c r="AEL87" s="149"/>
      <c r="AEM87" s="149"/>
      <c r="AEN87" s="149"/>
      <c r="AEO87" s="149"/>
      <c r="AEP87" s="149"/>
      <c r="AEQ87" s="149"/>
      <c r="AER87" s="149"/>
      <c r="AES87" s="149"/>
      <c r="AET87" s="149"/>
      <c r="AEU87" s="149"/>
      <c r="AEV87" s="149"/>
      <c r="AEW87" s="149"/>
      <c r="AEX87" s="149"/>
      <c r="AEY87" s="149"/>
      <c r="AEZ87" s="149"/>
      <c r="AFA87" s="149"/>
      <c r="AFB87" s="149"/>
      <c r="AFC87" s="149"/>
      <c r="AFD87" s="149"/>
      <c r="AFE87" s="149"/>
      <c r="AFF87" s="149"/>
      <c r="AFG87" s="149"/>
      <c r="AFH87" s="149"/>
      <c r="AFI87" s="149"/>
      <c r="AFJ87" s="149"/>
      <c r="AFK87" s="149"/>
      <c r="AFL87" s="149"/>
      <c r="AFM87" s="149"/>
      <c r="AFN87" s="149"/>
      <c r="AFO87" s="149"/>
      <c r="AFP87" s="149"/>
      <c r="AFQ87" s="149"/>
      <c r="AFR87" s="149"/>
      <c r="AFS87" s="149"/>
      <c r="AFT87" s="149"/>
      <c r="AFU87" s="149"/>
      <c r="AFV87" s="149"/>
      <c r="AFW87" s="149"/>
      <c r="AFX87" s="149"/>
      <c r="AFY87" s="149"/>
      <c r="AFZ87" s="149"/>
      <c r="AGA87" s="149"/>
      <c r="AGB87" s="149"/>
      <c r="AGC87" s="149"/>
      <c r="AGD87" s="149"/>
      <c r="AGE87" s="149"/>
      <c r="AGF87" s="149"/>
      <c r="AGG87" s="149"/>
      <c r="AGH87" s="149"/>
      <c r="AGI87" s="149"/>
      <c r="AGJ87" s="149"/>
      <c r="AGK87" s="149"/>
      <c r="AGL87" s="149"/>
      <c r="AGM87" s="149"/>
      <c r="AGN87" s="149"/>
      <c r="AGO87" s="149"/>
      <c r="AGP87" s="149"/>
      <c r="AGQ87" s="149"/>
      <c r="AGR87" s="149"/>
      <c r="AGS87" s="149"/>
      <c r="AGT87" s="149"/>
      <c r="AGU87" s="149"/>
      <c r="AGV87" s="149"/>
      <c r="AGW87" s="149"/>
      <c r="AGX87" s="149"/>
      <c r="AGY87" s="149"/>
      <c r="AGZ87" s="149"/>
      <c r="AHA87" s="149"/>
      <c r="AHB87" s="149"/>
      <c r="AHC87" s="149"/>
      <c r="AHD87" s="149"/>
      <c r="AHE87" s="149"/>
      <c r="AHF87" s="149"/>
      <c r="AHG87" s="149"/>
      <c r="AHH87" s="149"/>
      <c r="AHI87" s="149"/>
      <c r="AHJ87" s="149"/>
      <c r="AHK87" s="149"/>
      <c r="AHL87" s="149"/>
      <c r="AHM87" s="149"/>
      <c r="AHN87" s="149"/>
      <c r="AHO87" s="149"/>
      <c r="AHP87" s="149"/>
      <c r="AHQ87" s="149"/>
      <c r="AHR87" s="149"/>
      <c r="AHS87" s="149"/>
      <c r="AHT87" s="149"/>
      <c r="AHU87" s="149"/>
      <c r="AHV87" s="149"/>
      <c r="AHW87" s="149"/>
      <c r="AHX87" s="149"/>
      <c r="AHY87" s="149"/>
      <c r="AHZ87" s="149"/>
      <c r="AIA87" s="149"/>
      <c r="AIB87" s="149"/>
      <c r="AIC87" s="149"/>
      <c r="AID87" s="149"/>
      <c r="AIE87" s="149"/>
      <c r="AIF87" s="149"/>
      <c r="AIG87" s="149"/>
      <c r="AIH87" s="149"/>
      <c r="AII87" s="149"/>
      <c r="AIJ87" s="149"/>
      <c r="AIK87" s="149"/>
      <c r="AIL87" s="149"/>
      <c r="AIM87" s="149"/>
      <c r="AIN87" s="149"/>
      <c r="AIO87" s="149"/>
      <c r="AIP87" s="149"/>
      <c r="AIQ87" s="149"/>
      <c r="AIR87" s="149"/>
      <c r="AIS87" s="149"/>
      <c r="AIT87" s="149"/>
      <c r="AIU87" s="149"/>
      <c r="AIV87" s="149"/>
      <c r="AIW87" s="149"/>
      <c r="AIX87" s="149"/>
      <c r="AIY87" s="149"/>
      <c r="AIZ87" s="149"/>
      <c r="AJA87" s="149"/>
      <c r="AJB87" s="149"/>
      <c r="AJC87" s="149"/>
      <c r="AJD87" s="149"/>
      <c r="AJE87" s="149"/>
      <c r="AJF87" s="149"/>
      <c r="AJG87" s="149"/>
      <c r="AJH87" s="149"/>
      <c r="AJI87" s="149"/>
      <c r="AJJ87" s="149"/>
      <c r="AJK87" s="149"/>
      <c r="AJL87" s="149"/>
      <c r="AJM87" s="149"/>
      <c r="AJN87" s="149"/>
      <c r="AJO87" s="149"/>
      <c r="AJP87" s="149"/>
      <c r="AJQ87" s="149"/>
      <c r="AJR87" s="149"/>
      <c r="AJS87" s="149"/>
      <c r="AJT87" s="149"/>
      <c r="AJU87" s="149"/>
      <c r="AJV87" s="149"/>
      <c r="AJW87" s="149"/>
      <c r="AJX87" s="149"/>
      <c r="AJY87" s="149"/>
      <c r="AJZ87" s="149"/>
      <c r="AKA87" s="149"/>
      <c r="AKB87" s="149"/>
      <c r="AKC87" s="149"/>
      <c r="AKD87" s="149"/>
      <c r="AKE87" s="149"/>
      <c r="AKF87" s="149"/>
      <c r="AKG87" s="149"/>
      <c r="AKH87" s="149"/>
      <c r="AKI87" s="149"/>
      <c r="AKJ87" s="149"/>
      <c r="AKK87" s="149"/>
      <c r="AKL87" s="149"/>
      <c r="AKM87" s="149"/>
      <c r="AKN87" s="149"/>
      <c r="AKO87" s="149"/>
      <c r="AKP87" s="149"/>
      <c r="AKQ87" s="149"/>
      <c r="AKR87" s="149"/>
      <c r="AKS87" s="149"/>
      <c r="AKT87" s="149"/>
      <c r="AKU87" s="149"/>
      <c r="AKV87" s="149"/>
      <c r="AKW87" s="149"/>
      <c r="AKX87" s="149"/>
      <c r="AKY87" s="149"/>
      <c r="AKZ87" s="149"/>
      <c r="ALA87" s="149"/>
      <c r="ALB87" s="149"/>
      <c r="ALC87" s="149"/>
      <c r="ALD87" s="149"/>
      <c r="ALE87" s="149"/>
      <c r="ALF87" s="149"/>
      <c r="ALG87" s="149"/>
      <c r="ALH87" s="149"/>
      <c r="ALI87" s="149"/>
      <c r="ALJ87" s="149"/>
      <c r="ALK87" s="149"/>
      <c r="ALL87" s="149"/>
      <c r="ALM87" s="149"/>
      <c r="ALN87" s="149"/>
      <c r="ALO87" s="149"/>
      <c r="ALP87" s="149"/>
      <c r="ALQ87" s="149"/>
      <c r="ALR87" s="149"/>
      <c r="ALS87" s="149"/>
      <c r="ALT87" s="149"/>
      <c r="ALU87" s="149"/>
      <c r="ALV87" s="149"/>
      <c r="ALW87" s="149"/>
      <c r="ALX87" s="149"/>
      <c r="ALY87" s="149"/>
      <c r="ALZ87" s="149"/>
      <c r="AMA87" s="149"/>
      <c r="AMB87" s="149"/>
      <c r="AMC87" s="149"/>
      <c r="AMD87" s="149"/>
      <c r="AME87" s="149"/>
    </row>
    <row r="88" spans="1:1019" s="151" customFormat="1" hidden="1">
      <c r="A88" s="178"/>
      <c r="B88" s="149"/>
      <c r="C88" s="149"/>
      <c r="D88" s="150"/>
      <c r="E88" s="150"/>
      <c r="F88" s="150"/>
      <c r="H88" s="152"/>
      <c r="J88" s="149"/>
      <c r="K88" s="149"/>
      <c r="L88" s="149"/>
      <c r="M88" s="149"/>
      <c r="N88" s="149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53"/>
      <c r="AM88" s="149"/>
      <c r="AN88" s="149"/>
      <c r="AO88" s="149"/>
      <c r="AP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49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  <c r="BS88" s="149"/>
      <c r="BT88" s="149"/>
      <c r="BU88" s="149"/>
      <c r="BV88" s="149"/>
      <c r="BW88" s="149"/>
      <c r="BX88" s="149"/>
      <c r="BY88" s="149"/>
      <c r="BZ88" s="149"/>
      <c r="CA88" s="149"/>
      <c r="CB88" s="149"/>
      <c r="CC88" s="149"/>
      <c r="CD88" s="149"/>
      <c r="CE88" s="149"/>
      <c r="CF88" s="149"/>
      <c r="CG88" s="149"/>
      <c r="CH88" s="149"/>
      <c r="CI88" s="149"/>
      <c r="CJ88" s="149"/>
      <c r="CK88" s="149"/>
      <c r="CL88" s="149"/>
      <c r="CM88" s="149"/>
      <c r="CN88" s="149"/>
      <c r="CO88" s="149"/>
      <c r="CP88" s="149"/>
      <c r="CQ88" s="149"/>
      <c r="CR88" s="149"/>
      <c r="CS88" s="149"/>
      <c r="CT88" s="149"/>
      <c r="CU88" s="149"/>
      <c r="CV88" s="149"/>
      <c r="CW88" s="149"/>
      <c r="CX88" s="149"/>
      <c r="CY88" s="149"/>
      <c r="CZ88" s="149"/>
      <c r="DA88" s="149"/>
      <c r="DB88" s="149"/>
      <c r="DC88" s="149"/>
      <c r="DD88" s="149"/>
      <c r="DE88" s="149"/>
      <c r="DF88" s="149"/>
      <c r="DG88" s="149"/>
      <c r="DH88" s="149"/>
      <c r="DI88" s="149"/>
      <c r="DJ88" s="149"/>
      <c r="DK88" s="149"/>
      <c r="DL88" s="149"/>
      <c r="DM88" s="149"/>
      <c r="DN88" s="149"/>
      <c r="DO88" s="149"/>
      <c r="DP88" s="149"/>
      <c r="DQ88" s="149"/>
      <c r="DR88" s="149"/>
      <c r="DS88" s="149"/>
      <c r="DT88" s="149"/>
      <c r="DU88" s="149"/>
      <c r="DV88" s="149"/>
      <c r="DW88" s="149"/>
      <c r="DX88" s="149"/>
      <c r="DY88" s="149"/>
      <c r="DZ88" s="149"/>
      <c r="EA88" s="149"/>
      <c r="EB88" s="149"/>
      <c r="EC88" s="149"/>
      <c r="ED88" s="149"/>
      <c r="EE88" s="149"/>
      <c r="EF88" s="149"/>
      <c r="EG88" s="149"/>
      <c r="EH88" s="149"/>
      <c r="EI88" s="149"/>
      <c r="EJ88" s="149"/>
      <c r="EK88" s="149"/>
      <c r="EL88" s="149"/>
      <c r="EM88" s="149"/>
      <c r="EN88" s="149"/>
      <c r="EO88" s="149"/>
      <c r="EP88" s="149"/>
      <c r="EQ88" s="149"/>
      <c r="ER88" s="149"/>
      <c r="ES88" s="149"/>
      <c r="ET88" s="149"/>
      <c r="EU88" s="149"/>
      <c r="EV88" s="149"/>
      <c r="EW88" s="149"/>
      <c r="EX88" s="149"/>
      <c r="EY88" s="149"/>
      <c r="EZ88" s="149"/>
      <c r="FA88" s="149"/>
      <c r="FB88" s="149"/>
      <c r="FC88" s="149"/>
      <c r="FD88" s="149"/>
      <c r="FE88" s="149"/>
      <c r="FF88" s="149"/>
      <c r="FG88" s="149"/>
      <c r="FH88" s="149"/>
      <c r="FI88" s="149"/>
      <c r="FJ88" s="149"/>
      <c r="FK88" s="149"/>
      <c r="FL88" s="149"/>
      <c r="FM88" s="149"/>
      <c r="FN88" s="149"/>
      <c r="FO88" s="149"/>
      <c r="FP88" s="149"/>
      <c r="FQ88" s="149"/>
      <c r="FR88" s="149"/>
      <c r="FS88" s="149"/>
      <c r="FT88" s="149"/>
      <c r="FU88" s="149"/>
      <c r="FV88" s="149"/>
      <c r="FW88" s="149"/>
      <c r="FX88" s="149"/>
      <c r="FY88" s="149"/>
      <c r="FZ88" s="149"/>
      <c r="GA88" s="149"/>
      <c r="GB88" s="149"/>
      <c r="GC88" s="149"/>
      <c r="GD88" s="149"/>
      <c r="GE88" s="149"/>
      <c r="GF88" s="149"/>
      <c r="GG88" s="149"/>
      <c r="GH88" s="149"/>
      <c r="GI88" s="149"/>
      <c r="GJ88" s="149"/>
      <c r="GK88" s="149"/>
      <c r="GL88" s="149"/>
      <c r="GM88" s="149"/>
      <c r="GN88" s="149"/>
      <c r="GO88" s="149"/>
      <c r="GP88" s="149"/>
      <c r="GQ88" s="149"/>
      <c r="GR88" s="149"/>
      <c r="GS88" s="149"/>
      <c r="GT88" s="149"/>
      <c r="GU88" s="149"/>
      <c r="GV88" s="149"/>
      <c r="GW88" s="149"/>
      <c r="GX88" s="149"/>
      <c r="GY88" s="149"/>
      <c r="GZ88" s="149"/>
      <c r="HA88" s="149"/>
      <c r="HB88" s="149"/>
      <c r="HC88" s="149"/>
      <c r="HD88" s="149"/>
      <c r="HE88" s="149"/>
      <c r="HF88" s="149"/>
      <c r="HG88" s="149"/>
      <c r="HH88" s="149"/>
      <c r="HI88" s="149"/>
      <c r="HJ88" s="149"/>
      <c r="HK88" s="149"/>
      <c r="HL88" s="149"/>
      <c r="HM88" s="149"/>
      <c r="HN88" s="149"/>
      <c r="HO88" s="149"/>
      <c r="HP88" s="149"/>
      <c r="HQ88" s="149"/>
      <c r="HR88" s="149"/>
      <c r="HS88" s="149"/>
      <c r="HT88" s="149"/>
      <c r="HU88" s="149"/>
      <c r="HV88" s="149"/>
      <c r="HW88" s="149"/>
      <c r="HX88" s="149"/>
      <c r="HY88" s="149"/>
      <c r="HZ88" s="149"/>
      <c r="IA88" s="149"/>
      <c r="IB88" s="149"/>
      <c r="IC88" s="149"/>
      <c r="ID88" s="149"/>
      <c r="IE88" s="149"/>
      <c r="IF88" s="149"/>
      <c r="IG88" s="149"/>
      <c r="IH88" s="149"/>
      <c r="II88" s="149"/>
      <c r="IJ88" s="149"/>
      <c r="IK88" s="149"/>
      <c r="IL88" s="149"/>
      <c r="IM88" s="149"/>
      <c r="IN88" s="149"/>
      <c r="IO88" s="149"/>
      <c r="IP88" s="149"/>
      <c r="IQ88" s="149"/>
      <c r="IR88" s="149"/>
      <c r="IS88" s="149"/>
      <c r="IT88" s="149"/>
      <c r="IU88" s="149"/>
      <c r="IV88" s="149"/>
      <c r="IW88" s="149"/>
      <c r="IX88" s="149"/>
      <c r="IY88" s="149"/>
      <c r="IZ88" s="149"/>
      <c r="JA88" s="149"/>
      <c r="JB88" s="149"/>
      <c r="JC88" s="149"/>
      <c r="JD88" s="149"/>
      <c r="JE88" s="149"/>
      <c r="JF88" s="149"/>
      <c r="JG88" s="149"/>
      <c r="JH88" s="149"/>
      <c r="JI88" s="149"/>
      <c r="JJ88" s="149"/>
      <c r="JK88" s="149"/>
      <c r="JL88" s="149"/>
      <c r="JM88" s="149"/>
      <c r="JN88" s="149"/>
      <c r="JO88" s="149"/>
      <c r="JP88" s="149"/>
      <c r="JQ88" s="149"/>
      <c r="JR88" s="149"/>
      <c r="JS88" s="149"/>
      <c r="JT88" s="149"/>
      <c r="JU88" s="149"/>
      <c r="JV88" s="149"/>
      <c r="JW88" s="149"/>
      <c r="JX88" s="149"/>
      <c r="JY88" s="149"/>
      <c r="JZ88" s="149"/>
      <c r="KA88" s="149"/>
      <c r="KB88" s="149"/>
      <c r="KC88" s="149"/>
      <c r="KD88" s="149"/>
      <c r="KE88" s="149"/>
      <c r="KF88" s="149"/>
      <c r="KG88" s="149"/>
      <c r="KH88" s="149"/>
      <c r="KI88" s="149"/>
      <c r="KJ88" s="149"/>
      <c r="KK88" s="149"/>
      <c r="KL88" s="149"/>
      <c r="KM88" s="149"/>
      <c r="KN88" s="149"/>
      <c r="KO88" s="149"/>
      <c r="KP88" s="149"/>
      <c r="KQ88" s="149"/>
      <c r="KR88" s="149"/>
      <c r="KS88" s="149"/>
      <c r="KT88" s="149"/>
      <c r="KU88" s="149"/>
      <c r="KV88" s="149"/>
      <c r="KW88" s="149"/>
      <c r="KX88" s="149"/>
      <c r="KY88" s="149"/>
      <c r="KZ88" s="149"/>
      <c r="LA88" s="149"/>
      <c r="LB88" s="149"/>
      <c r="LC88" s="149"/>
      <c r="LD88" s="149"/>
      <c r="LE88" s="149"/>
      <c r="LF88" s="149"/>
      <c r="LG88" s="149"/>
      <c r="LH88" s="149"/>
      <c r="LI88" s="149"/>
      <c r="LJ88" s="149"/>
      <c r="LK88" s="149"/>
      <c r="LL88" s="149"/>
      <c r="LM88" s="149"/>
      <c r="LN88" s="149"/>
      <c r="LO88" s="149"/>
      <c r="LP88" s="149"/>
      <c r="LQ88" s="149"/>
      <c r="LR88" s="149"/>
      <c r="LS88" s="149"/>
      <c r="LT88" s="149"/>
      <c r="LU88" s="149"/>
      <c r="LV88" s="149"/>
      <c r="LW88" s="149"/>
      <c r="LX88" s="149"/>
      <c r="LY88" s="149"/>
      <c r="LZ88" s="149"/>
      <c r="MA88" s="149"/>
      <c r="MB88" s="149"/>
      <c r="MC88" s="149"/>
      <c r="MD88" s="149"/>
      <c r="ME88" s="149"/>
      <c r="MF88" s="149"/>
      <c r="MG88" s="149"/>
      <c r="MH88" s="149"/>
      <c r="MI88" s="149"/>
      <c r="MJ88" s="149"/>
      <c r="MK88" s="149"/>
      <c r="ML88" s="149"/>
      <c r="MM88" s="149"/>
      <c r="MN88" s="149"/>
      <c r="MO88" s="149"/>
      <c r="MP88" s="149"/>
      <c r="MQ88" s="149"/>
      <c r="MR88" s="149"/>
      <c r="MS88" s="149"/>
      <c r="MT88" s="149"/>
      <c r="MU88" s="149"/>
      <c r="MV88" s="149"/>
      <c r="MW88" s="149"/>
      <c r="MX88" s="149"/>
      <c r="MY88" s="149"/>
      <c r="MZ88" s="149"/>
      <c r="NA88" s="149"/>
      <c r="NB88" s="149"/>
      <c r="NC88" s="149"/>
      <c r="ND88" s="149"/>
      <c r="NE88" s="149"/>
      <c r="NF88" s="149"/>
      <c r="NG88" s="149"/>
      <c r="NH88" s="149"/>
      <c r="NI88" s="149"/>
      <c r="NJ88" s="149"/>
      <c r="NK88" s="149"/>
      <c r="NL88" s="149"/>
      <c r="NM88" s="149"/>
      <c r="NN88" s="149"/>
      <c r="NO88" s="149"/>
      <c r="NP88" s="149"/>
      <c r="NQ88" s="149"/>
      <c r="NR88" s="149"/>
      <c r="NS88" s="149"/>
      <c r="NT88" s="149"/>
      <c r="NU88" s="149"/>
      <c r="NV88" s="149"/>
      <c r="NW88" s="149"/>
      <c r="NX88" s="149"/>
      <c r="NY88" s="149"/>
      <c r="NZ88" s="149"/>
      <c r="OA88" s="149"/>
      <c r="OB88" s="149"/>
      <c r="OC88" s="149"/>
      <c r="OD88" s="149"/>
      <c r="OE88" s="149"/>
      <c r="OF88" s="149"/>
      <c r="OG88" s="149"/>
      <c r="OH88" s="149"/>
      <c r="OI88" s="149"/>
      <c r="OJ88" s="149"/>
      <c r="OK88" s="149"/>
      <c r="OL88" s="149"/>
      <c r="OM88" s="149"/>
      <c r="ON88" s="149"/>
      <c r="OO88" s="149"/>
      <c r="OP88" s="149"/>
      <c r="OQ88" s="149"/>
      <c r="OR88" s="149"/>
      <c r="OS88" s="149"/>
      <c r="OT88" s="149"/>
      <c r="OU88" s="149"/>
      <c r="OV88" s="149"/>
      <c r="OW88" s="149"/>
      <c r="OX88" s="149"/>
      <c r="OY88" s="149"/>
      <c r="OZ88" s="149"/>
      <c r="PA88" s="149"/>
      <c r="PB88" s="149"/>
      <c r="PC88" s="149"/>
      <c r="PD88" s="149"/>
      <c r="PE88" s="149"/>
      <c r="PF88" s="149"/>
      <c r="PG88" s="149"/>
      <c r="PH88" s="149"/>
      <c r="PI88" s="149"/>
      <c r="PJ88" s="149"/>
      <c r="PK88" s="149"/>
      <c r="PL88" s="149"/>
      <c r="PM88" s="149"/>
      <c r="PN88" s="149"/>
      <c r="PO88" s="149"/>
      <c r="PP88" s="149"/>
      <c r="PQ88" s="149"/>
      <c r="PR88" s="149"/>
      <c r="PS88" s="149"/>
      <c r="PT88" s="149"/>
      <c r="PU88" s="149"/>
      <c r="PV88" s="149"/>
      <c r="PW88" s="149"/>
      <c r="PX88" s="149"/>
      <c r="PY88" s="149"/>
      <c r="PZ88" s="149"/>
      <c r="QA88" s="149"/>
      <c r="QB88" s="149"/>
      <c r="QC88" s="149"/>
      <c r="QD88" s="149"/>
      <c r="QE88" s="149"/>
      <c r="QF88" s="149"/>
      <c r="QG88" s="149"/>
      <c r="QH88" s="149"/>
      <c r="QI88" s="149"/>
      <c r="QJ88" s="149"/>
      <c r="QK88" s="149"/>
      <c r="QL88" s="149"/>
      <c r="QM88" s="149"/>
      <c r="QN88" s="149"/>
      <c r="QO88" s="149"/>
      <c r="QP88" s="149"/>
      <c r="QQ88" s="149"/>
      <c r="QR88" s="149"/>
      <c r="QS88" s="149"/>
      <c r="QT88" s="149"/>
      <c r="QU88" s="149"/>
      <c r="QV88" s="149"/>
      <c r="QW88" s="149"/>
      <c r="QX88" s="149"/>
      <c r="QY88" s="149"/>
      <c r="QZ88" s="149"/>
      <c r="RA88" s="149"/>
      <c r="RB88" s="149"/>
      <c r="RC88" s="149"/>
      <c r="RD88" s="149"/>
      <c r="RE88" s="149"/>
      <c r="RF88" s="149"/>
      <c r="RG88" s="149"/>
      <c r="RH88" s="149"/>
      <c r="RI88" s="149"/>
      <c r="RJ88" s="149"/>
      <c r="RK88" s="149"/>
      <c r="RL88" s="149"/>
      <c r="RM88" s="149"/>
      <c r="RN88" s="149"/>
      <c r="RO88" s="149"/>
      <c r="RP88" s="149"/>
      <c r="RQ88" s="149"/>
      <c r="RR88" s="149"/>
      <c r="RS88" s="149"/>
      <c r="RT88" s="149"/>
      <c r="RU88" s="149"/>
      <c r="RV88" s="149"/>
      <c r="RW88" s="149"/>
      <c r="RX88" s="149"/>
      <c r="RY88" s="149"/>
      <c r="RZ88" s="149"/>
      <c r="SA88" s="149"/>
      <c r="SB88" s="149"/>
      <c r="SC88" s="149"/>
      <c r="SD88" s="149"/>
      <c r="SE88" s="149"/>
      <c r="SF88" s="149"/>
      <c r="SG88" s="149"/>
      <c r="SH88" s="149"/>
      <c r="SI88" s="149"/>
      <c r="SJ88" s="149"/>
      <c r="SK88" s="149"/>
      <c r="SL88" s="149"/>
      <c r="SM88" s="149"/>
      <c r="SN88" s="149"/>
      <c r="SO88" s="149"/>
      <c r="SP88" s="149"/>
      <c r="SQ88" s="149"/>
      <c r="SR88" s="149"/>
      <c r="SS88" s="149"/>
      <c r="ST88" s="149"/>
      <c r="SU88" s="149"/>
      <c r="SV88" s="149"/>
      <c r="SW88" s="149"/>
      <c r="SX88" s="149"/>
      <c r="SY88" s="149"/>
      <c r="SZ88" s="149"/>
      <c r="TA88" s="149"/>
      <c r="TB88" s="149"/>
      <c r="TC88" s="149"/>
      <c r="TD88" s="149"/>
      <c r="TE88" s="149"/>
      <c r="TF88" s="149"/>
      <c r="TG88" s="149"/>
      <c r="TH88" s="149"/>
      <c r="TI88" s="149"/>
      <c r="TJ88" s="149"/>
      <c r="TK88" s="149"/>
      <c r="TL88" s="149"/>
      <c r="TM88" s="149"/>
      <c r="TN88" s="149"/>
      <c r="TO88" s="149"/>
      <c r="TP88" s="149"/>
      <c r="TQ88" s="149"/>
      <c r="TR88" s="149"/>
      <c r="TS88" s="149"/>
      <c r="TT88" s="149"/>
      <c r="TU88" s="149"/>
      <c r="TV88" s="149"/>
      <c r="TW88" s="149"/>
      <c r="TX88" s="149"/>
      <c r="TY88" s="149"/>
      <c r="TZ88" s="149"/>
      <c r="UA88" s="149"/>
      <c r="UB88" s="149"/>
      <c r="UC88" s="149"/>
      <c r="UD88" s="149"/>
      <c r="UE88" s="149"/>
      <c r="UF88" s="149"/>
      <c r="UG88" s="149"/>
      <c r="UH88" s="149"/>
      <c r="UI88" s="149"/>
      <c r="UJ88" s="149"/>
      <c r="UK88" s="149"/>
      <c r="UL88" s="149"/>
      <c r="UM88" s="149"/>
      <c r="UN88" s="149"/>
      <c r="UO88" s="149"/>
      <c r="UP88" s="149"/>
      <c r="UQ88" s="149"/>
      <c r="UR88" s="149"/>
      <c r="US88" s="149"/>
      <c r="UT88" s="149"/>
      <c r="UU88" s="149"/>
      <c r="UV88" s="149"/>
      <c r="UW88" s="149"/>
      <c r="UX88" s="149"/>
      <c r="UY88" s="149"/>
      <c r="UZ88" s="149"/>
      <c r="VA88" s="149"/>
      <c r="VB88" s="149"/>
      <c r="VC88" s="149"/>
      <c r="VD88" s="149"/>
      <c r="VE88" s="149"/>
      <c r="VF88" s="149"/>
      <c r="VG88" s="149"/>
      <c r="VH88" s="149"/>
      <c r="VI88" s="149"/>
      <c r="VJ88" s="149"/>
      <c r="VK88" s="149"/>
      <c r="VL88" s="149"/>
      <c r="VM88" s="149"/>
      <c r="VN88" s="149"/>
      <c r="VO88" s="149"/>
      <c r="VP88" s="149"/>
      <c r="VQ88" s="149"/>
      <c r="VR88" s="149"/>
      <c r="VS88" s="149"/>
      <c r="VT88" s="149"/>
      <c r="VU88" s="149"/>
      <c r="VV88" s="149"/>
      <c r="VW88" s="149"/>
      <c r="VX88" s="149"/>
      <c r="VY88" s="149"/>
      <c r="VZ88" s="149"/>
      <c r="WA88" s="149"/>
      <c r="WB88" s="149"/>
      <c r="WC88" s="149"/>
      <c r="WD88" s="149"/>
      <c r="WE88" s="149"/>
      <c r="WF88" s="149"/>
      <c r="WG88" s="149"/>
      <c r="WH88" s="149"/>
      <c r="WI88" s="149"/>
      <c r="WJ88" s="149"/>
      <c r="WK88" s="149"/>
      <c r="WL88" s="149"/>
      <c r="WM88" s="149"/>
      <c r="WN88" s="149"/>
      <c r="WO88" s="149"/>
      <c r="WP88" s="149"/>
      <c r="WQ88" s="149"/>
      <c r="WR88" s="149"/>
      <c r="WS88" s="149"/>
      <c r="WT88" s="149"/>
      <c r="WU88" s="149"/>
      <c r="WV88" s="149"/>
      <c r="WW88" s="149"/>
      <c r="WX88" s="149"/>
      <c r="WY88" s="149"/>
      <c r="WZ88" s="149"/>
      <c r="XA88" s="149"/>
      <c r="XB88" s="149"/>
      <c r="XC88" s="149"/>
      <c r="XD88" s="149"/>
      <c r="XE88" s="149"/>
      <c r="XF88" s="149"/>
      <c r="XG88" s="149"/>
      <c r="XH88" s="149"/>
      <c r="XI88" s="149"/>
      <c r="XJ88" s="149"/>
      <c r="XK88" s="149"/>
      <c r="XL88" s="149"/>
      <c r="XM88" s="149"/>
      <c r="XN88" s="149"/>
      <c r="XO88" s="149"/>
      <c r="XP88" s="149"/>
      <c r="XQ88" s="149"/>
      <c r="XR88" s="149"/>
      <c r="XS88" s="149"/>
      <c r="XT88" s="149"/>
      <c r="XU88" s="149"/>
      <c r="XV88" s="149"/>
      <c r="XW88" s="149"/>
      <c r="XX88" s="149"/>
      <c r="XY88" s="149"/>
      <c r="XZ88" s="149"/>
      <c r="YA88" s="149"/>
      <c r="YB88" s="149"/>
      <c r="YC88" s="149"/>
      <c r="YD88" s="149"/>
      <c r="YE88" s="149"/>
      <c r="YF88" s="149"/>
      <c r="YG88" s="149"/>
      <c r="YH88" s="149"/>
      <c r="YI88" s="149"/>
      <c r="YJ88" s="149"/>
      <c r="YK88" s="149"/>
      <c r="YL88" s="149"/>
      <c r="YM88" s="149"/>
      <c r="YN88" s="149"/>
      <c r="YO88" s="149"/>
      <c r="YP88" s="149"/>
      <c r="YQ88" s="149"/>
      <c r="YR88" s="149"/>
      <c r="YS88" s="149"/>
      <c r="YT88" s="149"/>
      <c r="YU88" s="149"/>
      <c r="YV88" s="149"/>
      <c r="YW88" s="149"/>
      <c r="YX88" s="149"/>
      <c r="YY88" s="149"/>
      <c r="YZ88" s="149"/>
      <c r="ZA88" s="149"/>
      <c r="ZB88" s="149"/>
      <c r="ZC88" s="149"/>
      <c r="ZD88" s="149"/>
      <c r="ZE88" s="149"/>
      <c r="ZF88" s="149"/>
      <c r="ZG88" s="149"/>
      <c r="ZH88" s="149"/>
      <c r="ZI88" s="149"/>
      <c r="ZJ88" s="149"/>
      <c r="ZK88" s="149"/>
      <c r="ZL88" s="149"/>
      <c r="ZM88" s="149"/>
      <c r="ZN88" s="149"/>
      <c r="ZO88" s="149"/>
      <c r="ZP88" s="149"/>
      <c r="ZQ88" s="149"/>
      <c r="ZR88" s="149"/>
      <c r="ZS88" s="149"/>
      <c r="ZT88" s="149"/>
      <c r="ZU88" s="149"/>
      <c r="ZV88" s="149"/>
      <c r="ZW88" s="149"/>
      <c r="ZX88" s="149"/>
      <c r="ZY88" s="149"/>
      <c r="ZZ88" s="149"/>
      <c r="AAA88" s="149"/>
      <c r="AAB88" s="149"/>
      <c r="AAC88" s="149"/>
      <c r="AAD88" s="149"/>
      <c r="AAE88" s="149"/>
      <c r="AAF88" s="149"/>
      <c r="AAG88" s="149"/>
      <c r="AAH88" s="149"/>
      <c r="AAI88" s="149"/>
      <c r="AAJ88" s="149"/>
      <c r="AAK88" s="149"/>
      <c r="AAL88" s="149"/>
      <c r="AAM88" s="149"/>
      <c r="AAN88" s="149"/>
      <c r="AAO88" s="149"/>
      <c r="AAP88" s="149"/>
      <c r="AAQ88" s="149"/>
      <c r="AAR88" s="149"/>
      <c r="AAS88" s="149"/>
      <c r="AAT88" s="149"/>
      <c r="AAU88" s="149"/>
      <c r="AAV88" s="149"/>
      <c r="AAW88" s="149"/>
      <c r="AAX88" s="149"/>
      <c r="AAY88" s="149"/>
      <c r="AAZ88" s="149"/>
      <c r="ABA88" s="149"/>
      <c r="ABB88" s="149"/>
      <c r="ABC88" s="149"/>
      <c r="ABD88" s="149"/>
      <c r="ABE88" s="149"/>
      <c r="ABF88" s="149"/>
      <c r="ABG88" s="149"/>
      <c r="ABH88" s="149"/>
      <c r="ABI88" s="149"/>
      <c r="ABJ88" s="149"/>
      <c r="ABK88" s="149"/>
      <c r="ABL88" s="149"/>
      <c r="ABM88" s="149"/>
      <c r="ABN88" s="149"/>
      <c r="ABO88" s="149"/>
      <c r="ABP88" s="149"/>
      <c r="ABQ88" s="149"/>
      <c r="ABR88" s="149"/>
      <c r="ABS88" s="149"/>
      <c r="ABT88" s="149"/>
      <c r="ABU88" s="149"/>
      <c r="ABV88" s="149"/>
      <c r="ABW88" s="149"/>
      <c r="ABX88" s="149"/>
      <c r="ABY88" s="149"/>
      <c r="ABZ88" s="149"/>
      <c r="ACA88" s="149"/>
      <c r="ACB88" s="149"/>
      <c r="ACC88" s="149"/>
      <c r="ACD88" s="149"/>
      <c r="ACE88" s="149"/>
      <c r="ACF88" s="149"/>
      <c r="ACG88" s="149"/>
      <c r="ACH88" s="149"/>
      <c r="ACI88" s="149"/>
      <c r="ACJ88" s="149"/>
      <c r="ACK88" s="149"/>
      <c r="ACL88" s="149"/>
      <c r="ACM88" s="149"/>
      <c r="ACN88" s="149"/>
      <c r="ACO88" s="149"/>
      <c r="ACP88" s="149"/>
      <c r="ACQ88" s="149"/>
      <c r="ACR88" s="149"/>
      <c r="ACS88" s="149"/>
      <c r="ACT88" s="149"/>
      <c r="ACU88" s="149"/>
      <c r="ACV88" s="149"/>
      <c r="ACW88" s="149"/>
      <c r="ACX88" s="149"/>
      <c r="ACY88" s="149"/>
      <c r="ACZ88" s="149"/>
      <c r="ADA88" s="149"/>
      <c r="ADB88" s="149"/>
      <c r="ADC88" s="149"/>
      <c r="ADD88" s="149"/>
      <c r="ADE88" s="149"/>
      <c r="ADF88" s="149"/>
      <c r="ADG88" s="149"/>
      <c r="ADH88" s="149"/>
      <c r="ADI88" s="149"/>
      <c r="ADJ88" s="149"/>
      <c r="ADK88" s="149"/>
      <c r="ADL88" s="149"/>
      <c r="ADM88" s="149"/>
      <c r="ADN88" s="149"/>
      <c r="ADO88" s="149"/>
      <c r="ADP88" s="149"/>
      <c r="ADQ88" s="149"/>
      <c r="ADR88" s="149"/>
      <c r="ADS88" s="149"/>
      <c r="ADT88" s="149"/>
      <c r="ADU88" s="149"/>
      <c r="ADV88" s="149"/>
      <c r="ADW88" s="149"/>
      <c r="ADX88" s="149"/>
      <c r="ADY88" s="149"/>
      <c r="ADZ88" s="149"/>
      <c r="AEA88" s="149"/>
      <c r="AEB88" s="149"/>
      <c r="AEC88" s="149"/>
      <c r="AED88" s="149"/>
      <c r="AEE88" s="149"/>
      <c r="AEF88" s="149"/>
      <c r="AEG88" s="149"/>
      <c r="AEH88" s="149"/>
      <c r="AEI88" s="149"/>
      <c r="AEJ88" s="149"/>
      <c r="AEK88" s="149"/>
      <c r="AEL88" s="149"/>
      <c r="AEM88" s="149"/>
      <c r="AEN88" s="149"/>
      <c r="AEO88" s="149"/>
      <c r="AEP88" s="149"/>
      <c r="AEQ88" s="149"/>
      <c r="AER88" s="149"/>
      <c r="AES88" s="149"/>
      <c r="AET88" s="149"/>
      <c r="AEU88" s="149"/>
      <c r="AEV88" s="149"/>
      <c r="AEW88" s="149"/>
      <c r="AEX88" s="149"/>
      <c r="AEY88" s="149"/>
      <c r="AEZ88" s="149"/>
      <c r="AFA88" s="149"/>
      <c r="AFB88" s="149"/>
      <c r="AFC88" s="149"/>
      <c r="AFD88" s="149"/>
      <c r="AFE88" s="149"/>
      <c r="AFF88" s="149"/>
      <c r="AFG88" s="149"/>
      <c r="AFH88" s="149"/>
      <c r="AFI88" s="149"/>
      <c r="AFJ88" s="149"/>
      <c r="AFK88" s="149"/>
      <c r="AFL88" s="149"/>
      <c r="AFM88" s="149"/>
      <c r="AFN88" s="149"/>
      <c r="AFO88" s="149"/>
      <c r="AFP88" s="149"/>
      <c r="AFQ88" s="149"/>
      <c r="AFR88" s="149"/>
      <c r="AFS88" s="149"/>
      <c r="AFT88" s="149"/>
      <c r="AFU88" s="149"/>
      <c r="AFV88" s="149"/>
      <c r="AFW88" s="149"/>
      <c r="AFX88" s="149"/>
      <c r="AFY88" s="149"/>
      <c r="AFZ88" s="149"/>
      <c r="AGA88" s="149"/>
      <c r="AGB88" s="149"/>
      <c r="AGC88" s="149"/>
      <c r="AGD88" s="149"/>
      <c r="AGE88" s="149"/>
      <c r="AGF88" s="149"/>
      <c r="AGG88" s="149"/>
      <c r="AGH88" s="149"/>
      <c r="AGI88" s="149"/>
      <c r="AGJ88" s="149"/>
      <c r="AGK88" s="149"/>
      <c r="AGL88" s="149"/>
      <c r="AGM88" s="149"/>
      <c r="AGN88" s="149"/>
      <c r="AGO88" s="149"/>
      <c r="AGP88" s="149"/>
      <c r="AGQ88" s="149"/>
      <c r="AGR88" s="149"/>
      <c r="AGS88" s="149"/>
      <c r="AGT88" s="149"/>
      <c r="AGU88" s="149"/>
      <c r="AGV88" s="149"/>
      <c r="AGW88" s="149"/>
      <c r="AGX88" s="149"/>
      <c r="AGY88" s="149"/>
      <c r="AGZ88" s="149"/>
      <c r="AHA88" s="149"/>
      <c r="AHB88" s="149"/>
      <c r="AHC88" s="149"/>
      <c r="AHD88" s="149"/>
      <c r="AHE88" s="149"/>
      <c r="AHF88" s="149"/>
      <c r="AHG88" s="149"/>
      <c r="AHH88" s="149"/>
      <c r="AHI88" s="149"/>
      <c r="AHJ88" s="149"/>
      <c r="AHK88" s="149"/>
      <c r="AHL88" s="149"/>
      <c r="AHM88" s="149"/>
      <c r="AHN88" s="149"/>
      <c r="AHO88" s="149"/>
      <c r="AHP88" s="149"/>
      <c r="AHQ88" s="149"/>
      <c r="AHR88" s="149"/>
      <c r="AHS88" s="149"/>
      <c r="AHT88" s="149"/>
      <c r="AHU88" s="149"/>
      <c r="AHV88" s="149"/>
      <c r="AHW88" s="149"/>
      <c r="AHX88" s="149"/>
      <c r="AHY88" s="149"/>
      <c r="AHZ88" s="149"/>
      <c r="AIA88" s="149"/>
      <c r="AIB88" s="149"/>
      <c r="AIC88" s="149"/>
      <c r="AID88" s="149"/>
      <c r="AIE88" s="149"/>
      <c r="AIF88" s="149"/>
      <c r="AIG88" s="149"/>
      <c r="AIH88" s="149"/>
      <c r="AII88" s="149"/>
      <c r="AIJ88" s="149"/>
      <c r="AIK88" s="149"/>
      <c r="AIL88" s="149"/>
      <c r="AIM88" s="149"/>
      <c r="AIN88" s="149"/>
      <c r="AIO88" s="149"/>
      <c r="AIP88" s="149"/>
      <c r="AIQ88" s="149"/>
      <c r="AIR88" s="149"/>
      <c r="AIS88" s="149"/>
      <c r="AIT88" s="149"/>
      <c r="AIU88" s="149"/>
      <c r="AIV88" s="149"/>
      <c r="AIW88" s="149"/>
      <c r="AIX88" s="149"/>
      <c r="AIY88" s="149"/>
      <c r="AIZ88" s="149"/>
      <c r="AJA88" s="149"/>
      <c r="AJB88" s="149"/>
      <c r="AJC88" s="149"/>
      <c r="AJD88" s="149"/>
      <c r="AJE88" s="149"/>
      <c r="AJF88" s="149"/>
      <c r="AJG88" s="149"/>
      <c r="AJH88" s="149"/>
      <c r="AJI88" s="149"/>
      <c r="AJJ88" s="149"/>
      <c r="AJK88" s="149"/>
      <c r="AJL88" s="149"/>
      <c r="AJM88" s="149"/>
      <c r="AJN88" s="149"/>
      <c r="AJO88" s="149"/>
      <c r="AJP88" s="149"/>
      <c r="AJQ88" s="149"/>
      <c r="AJR88" s="149"/>
      <c r="AJS88" s="149"/>
      <c r="AJT88" s="149"/>
      <c r="AJU88" s="149"/>
      <c r="AJV88" s="149"/>
      <c r="AJW88" s="149"/>
      <c r="AJX88" s="149"/>
      <c r="AJY88" s="149"/>
      <c r="AJZ88" s="149"/>
      <c r="AKA88" s="149"/>
      <c r="AKB88" s="149"/>
      <c r="AKC88" s="149"/>
      <c r="AKD88" s="149"/>
      <c r="AKE88" s="149"/>
      <c r="AKF88" s="149"/>
      <c r="AKG88" s="149"/>
      <c r="AKH88" s="149"/>
      <c r="AKI88" s="149"/>
      <c r="AKJ88" s="149"/>
      <c r="AKK88" s="149"/>
      <c r="AKL88" s="149"/>
      <c r="AKM88" s="149"/>
      <c r="AKN88" s="149"/>
      <c r="AKO88" s="149"/>
      <c r="AKP88" s="149"/>
      <c r="AKQ88" s="149"/>
      <c r="AKR88" s="149"/>
      <c r="AKS88" s="149"/>
      <c r="AKT88" s="149"/>
      <c r="AKU88" s="149"/>
      <c r="AKV88" s="149"/>
      <c r="AKW88" s="149"/>
      <c r="AKX88" s="149"/>
      <c r="AKY88" s="149"/>
      <c r="AKZ88" s="149"/>
      <c r="ALA88" s="149"/>
      <c r="ALB88" s="149"/>
      <c r="ALC88" s="149"/>
      <c r="ALD88" s="149"/>
      <c r="ALE88" s="149"/>
      <c r="ALF88" s="149"/>
      <c r="ALG88" s="149"/>
      <c r="ALH88" s="149"/>
      <c r="ALI88" s="149"/>
      <c r="ALJ88" s="149"/>
      <c r="ALK88" s="149"/>
      <c r="ALL88" s="149"/>
      <c r="ALM88" s="149"/>
      <c r="ALN88" s="149"/>
      <c r="ALO88" s="149"/>
      <c r="ALP88" s="149"/>
      <c r="ALQ88" s="149"/>
      <c r="ALR88" s="149"/>
      <c r="ALS88" s="149"/>
      <c r="ALT88" s="149"/>
      <c r="ALU88" s="149"/>
      <c r="ALV88" s="149"/>
      <c r="ALW88" s="149"/>
      <c r="ALX88" s="149"/>
      <c r="ALY88" s="149"/>
      <c r="ALZ88" s="149"/>
      <c r="AMA88" s="149"/>
      <c r="AMB88" s="149"/>
      <c r="AMC88" s="149"/>
      <c r="AMD88" s="149"/>
      <c r="AME88" s="149"/>
    </row>
    <row r="89" spans="1:1019" s="151" customFormat="1" hidden="1">
      <c r="A89" s="178"/>
      <c r="B89" s="149"/>
      <c r="C89" s="149"/>
      <c r="D89" s="150"/>
      <c r="E89" s="150"/>
      <c r="F89" s="150"/>
      <c r="H89" s="152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53"/>
      <c r="AM89" s="149"/>
      <c r="AN89" s="149"/>
      <c r="AO89" s="149"/>
      <c r="AP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49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  <c r="BS89" s="149"/>
      <c r="BT89" s="149"/>
      <c r="BU89" s="149"/>
      <c r="BV89" s="149"/>
      <c r="BW89" s="149"/>
      <c r="BX89" s="149"/>
      <c r="BY89" s="149"/>
      <c r="BZ89" s="149"/>
      <c r="CA89" s="149"/>
      <c r="CB89" s="149"/>
      <c r="CC89" s="149"/>
      <c r="CD89" s="149"/>
      <c r="CE89" s="149"/>
      <c r="CF89" s="149"/>
      <c r="CG89" s="149"/>
      <c r="CH89" s="149"/>
      <c r="CI89" s="149"/>
      <c r="CJ89" s="149"/>
      <c r="CK89" s="149"/>
      <c r="CL89" s="149"/>
      <c r="CM89" s="149"/>
      <c r="CN89" s="149"/>
      <c r="CO89" s="149"/>
      <c r="CP89" s="149"/>
      <c r="CQ89" s="149"/>
      <c r="CR89" s="149"/>
      <c r="CS89" s="149"/>
      <c r="CT89" s="149"/>
      <c r="CU89" s="149"/>
      <c r="CV89" s="149"/>
      <c r="CW89" s="149"/>
      <c r="CX89" s="149"/>
      <c r="CY89" s="149"/>
      <c r="CZ89" s="149"/>
      <c r="DA89" s="149"/>
      <c r="DB89" s="149"/>
      <c r="DC89" s="149"/>
      <c r="DD89" s="149"/>
      <c r="DE89" s="149"/>
      <c r="DF89" s="149"/>
      <c r="DG89" s="149"/>
      <c r="DH89" s="149"/>
      <c r="DI89" s="149"/>
      <c r="DJ89" s="149"/>
      <c r="DK89" s="149"/>
      <c r="DL89" s="149"/>
      <c r="DM89" s="149"/>
      <c r="DN89" s="149"/>
      <c r="DO89" s="149"/>
      <c r="DP89" s="149"/>
      <c r="DQ89" s="149"/>
      <c r="DR89" s="149"/>
      <c r="DS89" s="149"/>
      <c r="DT89" s="149"/>
      <c r="DU89" s="149"/>
      <c r="DV89" s="149"/>
      <c r="DW89" s="149"/>
      <c r="DX89" s="149"/>
      <c r="DY89" s="149"/>
      <c r="DZ89" s="149"/>
      <c r="EA89" s="149"/>
      <c r="EB89" s="149"/>
      <c r="EC89" s="149"/>
      <c r="ED89" s="149"/>
      <c r="EE89" s="149"/>
      <c r="EF89" s="149"/>
      <c r="EG89" s="149"/>
      <c r="EH89" s="149"/>
      <c r="EI89" s="149"/>
      <c r="EJ89" s="149"/>
      <c r="EK89" s="149"/>
      <c r="EL89" s="149"/>
      <c r="EM89" s="149"/>
      <c r="EN89" s="149"/>
      <c r="EO89" s="149"/>
      <c r="EP89" s="149"/>
      <c r="EQ89" s="149"/>
      <c r="ER89" s="149"/>
      <c r="ES89" s="149"/>
      <c r="ET89" s="149"/>
      <c r="EU89" s="149"/>
      <c r="EV89" s="149"/>
      <c r="EW89" s="149"/>
      <c r="EX89" s="149"/>
      <c r="EY89" s="149"/>
      <c r="EZ89" s="149"/>
      <c r="FA89" s="149"/>
      <c r="FB89" s="149"/>
      <c r="FC89" s="149"/>
      <c r="FD89" s="149"/>
      <c r="FE89" s="149"/>
      <c r="FF89" s="149"/>
      <c r="FG89" s="149"/>
      <c r="FH89" s="149"/>
      <c r="FI89" s="149"/>
      <c r="FJ89" s="149"/>
      <c r="FK89" s="149"/>
      <c r="FL89" s="149"/>
      <c r="FM89" s="149"/>
      <c r="FN89" s="149"/>
      <c r="FO89" s="149"/>
      <c r="FP89" s="149"/>
      <c r="FQ89" s="149"/>
      <c r="FR89" s="149"/>
      <c r="FS89" s="149"/>
      <c r="FT89" s="149"/>
      <c r="FU89" s="149"/>
      <c r="FV89" s="149"/>
      <c r="FW89" s="149"/>
      <c r="FX89" s="149"/>
      <c r="FY89" s="149"/>
      <c r="FZ89" s="149"/>
      <c r="GA89" s="149"/>
      <c r="GB89" s="149"/>
      <c r="GC89" s="149"/>
      <c r="GD89" s="149"/>
      <c r="GE89" s="149"/>
      <c r="GF89" s="149"/>
      <c r="GG89" s="149"/>
      <c r="GH89" s="149"/>
      <c r="GI89" s="149"/>
      <c r="GJ89" s="149"/>
      <c r="GK89" s="149"/>
      <c r="GL89" s="149"/>
      <c r="GM89" s="149"/>
      <c r="GN89" s="149"/>
      <c r="GO89" s="149"/>
      <c r="GP89" s="149"/>
      <c r="GQ89" s="149"/>
      <c r="GR89" s="149"/>
      <c r="GS89" s="149"/>
      <c r="GT89" s="149"/>
      <c r="GU89" s="149"/>
      <c r="GV89" s="149"/>
      <c r="GW89" s="149"/>
      <c r="GX89" s="149"/>
      <c r="GY89" s="149"/>
      <c r="GZ89" s="149"/>
      <c r="HA89" s="149"/>
      <c r="HB89" s="149"/>
      <c r="HC89" s="149"/>
      <c r="HD89" s="149"/>
      <c r="HE89" s="149"/>
      <c r="HF89" s="149"/>
      <c r="HG89" s="149"/>
      <c r="HH89" s="149"/>
      <c r="HI89" s="149"/>
      <c r="HJ89" s="149"/>
      <c r="HK89" s="149"/>
      <c r="HL89" s="149"/>
      <c r="HM89" s="149"/>
      <c r="HN89" s="149"/>
      <c r="HO89" s="149"/>
      <c r="HP89" s="149"/>
      <c r="HQ89" s="149"/>
      <c r="HR89" s="149"/>
      <c r="HS89" s="149"/>
      <c r="HT89" s="149"/>
      <c r="HU89" s="149"/>
      <c r="HV89" s="149"/>
      <c r="HW89" s="149"/>
      <c r="HX89" s="149"/>
      <c r="HY89" s="149"/>
      <c r="HZ89" s="149"/>
      <c r="IA89" s="149"/>
      <c r="IB89" s="149"/>
      <c r="IC89" s="149"/>
      <c r="ID89" s="149"/>
      <c r="IE89" s="149"/>
      <c r="IF89" s="149"/>
      <c r="IG89" s="149"/>
      <c r="IH89" s="149"/>
      <c r="II89" s="149"/>
      <c r="IJ89" s="149"/>
      <c r="IK89" s="149"/>
      <c r="IL89" s="149"/>
      <c r="IM89" s="149"/>
      <c r="IN89" s="149"/>
      <c r="IO89" s="149"/>
      <c r="IP89" s="149"/>
      <c r="IQ89" s="149"/>
      <c r="IR89" s="149"/>
      <c r="IS89" s="149"/>
      <c r="IT89" s="149"/>
      <c r="IU89" s="149"/>
      <c r="IV89" s="149"/>
      <c r="IW89" s="149"/>
      <c r="IX89" s="149"/>
      <c r="IY89" s="149"/>
      <c r="IZ89" s="149"/>
      <c r="JA89" s="149"/>
      <c r="JB89" s="149"/>
      <c r="JC89" s="149"/>
      <c r="JD89" s="149"/>
      <c r="JE89" s="149"/>
      <c r="JF89" s="149"/>
      <c r="JG89" s="149"/>
      <c r="JH89" s="149"/>
      <c r="JI89" s="149"/>
      <c r="JJ89" s="149"/>
      <c r="JK89" s="149"/>
      <c r="JL89" s="149"/>
      <c r="JM89" s="149"/>
      <c r="JN89" s="149"/>
      <c r="JO89" s="149"/>
      <c r="JP89" s="149"/>
      <c r="JQ89" s="149"/>
      <c r="JR89" s="149"/>
      <c r="JS89" s="149"/>
      <c r="JT89" s="149"/>
      <c r="JU89" s="149"/>
      <c r="JV89" s="149"/>
      <c r="JW89" s="149"/>
      <c r="JX89" s="149"/>
      <c r="JY89" s="149"/>
      <c r="JZ89" s="149"/>
      <c r="KA89" s="149"/>
      <c r="KB89" s="149"/>
      <c r="KC89" s="149"/>
      <c r="KD89" s="149"/>
      <c r="KE89" s="149"/>
      <c r="KF89" s="149"/>
      <c r="KG89" s="149"/>
      <c r="KH89" s="149"/>
      <c r="KI89" s="149"/>
      <c r="KJ89" s="149"/>
      <c r="KK89" s="149"/>
      <c r="KL89" s="149"/>
      <c r="KM89" s="149"/>
      <c r="KN89" s="149"/>
      <c r="KO89" s="149"/>
      <c r="KP89" s="149"/>
      <c r="KQ89" s="149"/>
      <c r="KR89" s="149"/>
      <c r="KS89" s="149"/>
      <c r="KT89" s="149"/>
      <c r="KU89" s="149"/>
      <c r="KV89" s="149"/>
      <c r="KW89" s="149"/>
      <c r="KX89" s="149"/>
      <c r="KY89" s="149"/>
      <c r="KZ89" s="149"/>
      <c r="LA89" s="149"/>
      <c r="LB89" s="149"/>
      <c r="LC89" s="149"/>
      <c r="LD89" s="149"/>
      <c r="LE89" s="149"/>
      <c r="LF89" s="149"/>
      <c r="LG89" s="149"/>
      <c r="LH89" s="149"/>
      <c r="LI89" s="149"/>
      <c r="LJ89" s="149"/>
      <c r="LK89" s="149"/>
      <c r="LL89" s="149"/>
      <c r="LM89" s="149"/>
      <c r="LN89" s="149"/>
      <c r="LO89" s="149"/>
      <c r="LP89" s="149"/>
      <c r="LQ89" s="149"/>
      <c r="LR89" s="149"/>
      <c r="LS89" s="149"/>
      <c r="LT89" s="149"/>
      <c r="LU89" s="149"/>
      <c r="LV89" s="149"/>
      <c r="LW89" s="149"/>
      <c r="LX89" s="149"/>
      <c r="LY89" s="149"/>
      <c r="LZ89" s="149"/>
      <c r="MA89" s="149"/>
      <c r="MB89" s="149"/>
      <c r="MC89" s="149"/>
      <c r="MD89" s="149"/>
      <c r="ME89" s="149"/>
      <c r="MF89" s="149"/>
      <c r="MG89" s="149"/>
      <c r="MH89" s="149"/>
      <c r="MI89" s="149"/>
      <c r="MJ89" s="149"/>
      <c r="MK89" s="149"/>
      <c r="ML89" s="149"/>
      <c r="MM89" s="149"/>
      <c r="MN89" s="149"/>
      <c r="MO89" s="149"/>
      <c r="MP89" s="149"/>
      <c r="MQ89" s="149"/>
      <c r="MR89" s="149"/>
      <c r="MS89" s="149"/>
      <c r="MT89" s="149"/>
      <c r="MU89" s="149"/>
      <c r="MV89" s="149"/>
      <c r="MW89" s="149"/>
      <c r="MX89" s="149"/>
      <c r="MY89" s="149"/>
      <c r="MZ89" s="149"/>
      <c r="NA89" s="149"/>
      <c r="NB89" s="149"/>
      <c r="NC89" s="149"/>
      <c r="ND89" s="149"/>
      <c r="NE89" s="149"/>
      <c r="NF89" s="149"/>
      <c r="NG89" s="149"/>
      <c r="NH89" s="149"/>
      <c r="NI89" s="149"/>
      <c r="NJ89" s="149"/>
      <c r="NK89" s="149"/>
      <c r="NL89" s="149"/>
      <c r="NM89" s="149"/>
      <c r="NN89" s="149"/>
      <c r="NO89" s="149"/>
      <c r="NP89" s="149"/>
      <c r="NQ89" s="149"/>
      <c r="NR89" s="149"/>
      <c r="NS89" s="149"/>
      <c r="NT89" s="149"/>
      <c r="NU89" s="149"/>
      <c r="NV89" s="149"/>
      <c r="NW89" s="149"/>
      <c r="NX89" s="149"/>
      <c r="NY89" s="149"/>
      <c r="NZ89" s="149"/>
      <c r="OA89" s="149"/>
      <c r="OB89" s="149"/>
      <c r="OC89" s="149"/>
      <c r="OD89" s="149"/>
      <c r="OE89" s="149"/>
      <c r="OF89" s="149"/>
      <c r="OG89" s="149"/>
      <c r="OH89" s="149"/>
      <c r="OI89" s="149"/>
      <c r="OJ89" s="149"/>
      <c r="OK89" s="149"/>
      <c r="OL89" s="149"/>
      <c r="OM89" s="149"/>
      <c r="ON89" s="149"/>
      <c r="OO89" s="149"/>
      <c r="OP89" s="149"/>
      <c r="OQ89" s="149"/>
      <c r="OR89" s="149"/>
      <c r="OS89" s="149"/>
      <c r="OT89" s="149"/>
      <c r="OU89" s="149"/>
      <c r="OV89" s="149"/>
      <c r="OW89" s="149"/>
      <c r="OX89" s="149"/>
      <c r="OY89" s="149"/>
      <c r="OZ89" s="149"/>
      <c r="PA89" s="149"/>
      <c r="PB89" s="149"/>
      <c r="PC89" s="149"/>
      <c r="PD89" s="149"/>
      <c r="PE89" s="149"/>
      <c r="PF89" s="149"/>
      <c r="PG89" s="149"/>
      <c r="PH89" s="149"/>
      <c r="PI89" s="149"/>
      <c r="PJ89" s="149"/>
      <c r="PK89" s="149"/>
      <c r="PL89" s="149"/>
      <c r="PM89" s="149"/>
      <c r="PN89" s="149"/>
      <c r="PO89" s="149"/>
      <c r="PP89" s="149"/>
      <c r="PQ89" s="149"/>
      <c r="PR89" s="149"/>
      <c r="PS89" s="149"/>
      <c r="PT89" s="149"/>
      <c r="PU89" s="149"/>
      <c r="PV89" s="149"/>
      <c r="PW89" s="149"/>
      <c r="PX89" s="149"/>
      <c r="PY89" s="149"/>
      <c r="PZ89" s="149"/>
      <c r="QA89" s="149"/>
      <c r="QB89" s="149"/>
      <c r="QC89" s="149"/>
      <c r="QD89" s="149"/>
      <c r="QE89" s="149"/>
      <c r="QF89" s="149"/>
      <c r="QG89" s="149"/>
      <c r="QH89" s="149"/>
      <c r="QI89" s="149"/>
      <c r="QJ89" s="149"/>
      <c r="QK89" s="149"/>
      <c r="QL89" s="149"/>
      <c r="QM89" s="149"/>
      <c r="QN89" s="149"/>
      <c r="QO89" s="149"/>
      <c r="QP89" s="149"/>
      <c r="QQ89" s="149"/>
      <c r="QR89" s="149"/>
      <c r="QS89" s="149"/>
      <c r="QT89" s="149"/>
      <c r="QU89" s="149"/>
      <c r="QV89" s="149"/>
      <c r="QW89" s="149"/>
      <c r="QX89" s="149"/>
      <c r="QY89" s="149"/>
      <c r="QZ89" s="149"/>
      <c r="RA89" s="149"/>
      <c r="RB89" s="149"/>
      <c r="RC89" s="149"/>
      <c r="RD89" s="149"/>
      <c r="RE89" s="149"/>
      <c r="RF89" s="149"/>
      <c r="RG89" s="149"/>
      <c r="RH89" s="149"/>
      <c r="RI89" s="149"/>
      <c r="RJ89" s="149"/>
      <c r="RK89" s="149"/>
      <c r="RL89" s="149"/>
      <c r="RM89" s="149"/>
      <c r="RN89" s="149"/>
      <c r="RO89" s="149"/>
      <c r="RP89" s="149"/>
      <c r="RQ89" s="149"/>
      <c r="RR89" s="149"/>
      <c r="RS89" s="149"/>
      <c r="RT89" s="149"/>
      <c r="RU89" s="149"/>
      <c r="RV89" s="149"/>
      <c r="RW89" s="149"/>
      <c r="RX89" s="149"/>
      <c r="RY89" s="149"/>
      <c r="RZ89" s="149"/>
      <c r="SA89" s="149"/>
      <c r="SB89" s="149"/>
      <c r="SC89" s="149"/>
      <c r="SD89" s="149"/>
      <c r="SE89" s="149"/>
      <c r="SF89" s="149"/>
      <c r="SG89" s="149"/>
      <c r="SH89" s="149"/>
      <c r="SI89" s="149"/>
      <c r="SJ89" s="149"/>
      <c r="SK89" s="149"/>
      <c r="SL89" s="149"/>
      <c r="SM89" s="149"/>
      <c r="SN89" s="149"/>
      <c r="SO89" s="149"/>
      <c r="SP89" s="149"/>
      <c r="SQ89" s="149"/>
      <c r="SR89" s="149"/>
      <c r="SS89" s="149"/>
      <c r="ST89" s="149"/>
      <c r="SU89" s="149"/>
      <c r="SV89" s="149"/>
      <c r="SW89" s="149"/>
      <c r="SX89" s="149"/>
      <c r="SY89" s="149"/>
      <c r="SZ89" s="149"/>
      <c r="TA89" s="149"/>
      <c r="TB89" s="149"/>
      <c r="TC89" s="149"/>
      <c r="TD89" s="149"/>
      <c r="TE89" s="149"/>
      <c r="TF89" s="149"/>
      <c r="TG89" s="149"/>
      <c r="TH89" s="149"/>
      <c r="TI89" s="149"/>
      <c r="TJ89" s="149"/>
      <c r="TK89" s="149"/>
      <c r="TL89" s="149"/>
      <c r="TM89" s="149"/>
      <c r="TN89" s="149"/>
      <c r="TO89" s="149"/>
      <c r="TP89" s="149"/>
      <c r="TQ89" s="149"/>
      <c r="TR89" s="149"/>
      <c r="TS89" s="149"/>
      <c r="TT89" s="149"/>
      <c r="TU89" s="149"/>
      <c r="TV89" s="149"/>
      <c r="TW89" s="149"/>
      <c r="TX89" s="149"/>
      <c r="TY89" s="149"/>
      <c r="TZ89" s="149"/>
      <c r="UA89" s="149"/>
      <c r="UB89" s="149"/>
      <c r="UC89" s="149"/>
      <c r="UD89" s="149"/>
      <c r="UE89" s="149"/>
      <c r="UF89" s="149"/>
      <c r="UG89" s="149"/>
      <c r="UH89" s="149"/>
      <c r="UI89" s="149"/>
      <c r="UJ89" s="149"/>
      <c r="UK89" s="149"/>
      <c r="UL89" s="149"/>
      <c r="UM89" s="149"/>
      <c r="UN89" s="149"/>
      <c r="UO89" s="149"/>
      <c r="UP89" s="149"/>
      <c r="UQ89" s="149"/>
      <c r="UR89" s="149"/>
      <c r="US89" s="149"/>
      <c r="UT89" s="149"/>
      <c r="UU89" s="149"/>
      <c r="UV89" s="149"/>
      <c r="UW89" s="149"/>
      <c r="UX89" s="149"/>
      <c r="UY89" s="149"/>
      <c r="UZ89" s="149"/>
      <c r="VA89" s="149"/>
      <c r="VB89" s="149"/>
      <c r="VC89" s="149"/>
      <c r="VD89" s="149"/>
      <c r="VE89" s="149"/>
      <c r="VF89" s="149"/>
      <c r="VG89" s="149"/>
      <c r="VH89" s="149"/>
      <c r="VI89" s="149"/>
      <c r="VJ89" s="149"/>
      <c r="VK89" s="149"/>
      <c r="VL89" s="149"/>
      <c r="VM89" s="149"/>
      <c r="VN89" s="149"/>
      <c r="VO89" s="149"/>
      <c r="VP89" s="149"/>
      <c r="VQ89" s="149"/>
      <c r="VR89" s="149"/>
      <c r="VS89" s="149"/>
      <c r="VT89" s="149"/>
      <c r="VU89" s="149"/>
      <c r="VV89" s="149"/>
      <c r="VW89" s="149"/>
      <c r="VX89" s="149"/>
      <c r="VY89" s="149"/>
      <c r="VZ89" s="149"/>
      <c r="WA89" s="149"/>
      <c r="WB89" s="149"/>
      <c r="WC89" s="149"/>
      <c r="WD89" s="149"/>
      <c r="WE89" s="149"/>
      <c r="WF89" s="149"/>
      <c r="WG89" s="149"/>
      <c r="WH89" s="149"/>
      <c r="WI89" s="149"/>
      <c r="WJ89" s="149"/>
      <c r="WK89" s="149"/>
      <c r="WL89" s="149"/>
      <c r="WM89" s="149"/>
      <c r="WN89" s="149"/>
      <c r="WO89" s="149"/>
      <c r="WP89" s="149"/>
      <c r="WQ89" s="149"/>
      <c r="WR89" s="149"/>
      <c r="WS89" s="149"/>
      <c r="WT89" s="149"/>
      <c r="WU89" s="149"/>
      <c r="WV89" s="149"/>
      <c r="WW89" s="149"/>
      <c r="WX89" s="149"/>
      <c r="WY89" s="149"/>
      <c r="WZ89" s="149"/>
      <c r="XA89" s="149"/>
      <c r="XB89" s="149"/>
      <c r="XC89" s="149"/>
      <c r="XD89" s="149"/>
      <c r="XE89" s="149"/>
      <c r="XF89" s="149"/>
      <c r="XG89" s="149"/>
      <c r="XH89" s="149"/>
      <c r="XI89" s="149"/>
      <c r="XJ89" s="149"/>
      <c r="XK89" s="149"/>
      <c r="XL89" s="149"/>
      <c r="XM89" s="149"/>
      <c r="XN89" s="149"/>
      <c r="XO89" s="149"/>
      <c r="XP89" s="149"/>
      <c r="XQ89" s="149"/>
      <c r="XR89" s="149"/>
      <c r="XS89" s="149"/>
      <c r="XT89" s="149"/>
      <c r="XU89" s="149"/>
      <c r="XV89" s="149"/>
      <c r="XW89" s="149"/>
      <c r="XX89" s="149"/>
      <c r="XY89" s="149"/>
      <c r="XZ89" s="149"/>
      <c r="YA89" s="149"/>
      <c r="YB89" s="149"/>
      <c r="YC89" s="149"/>
      <c r="YD89" s="149"/>
      <c r="YE89" s="149"/>
      <c r="YF89" s="149"/>
      <c r="YG89" s="149"/>
      <c r="YH89" s="149"/>
      <c r="YI89" s="149"/>
      <c r="YJ89" s="149"/>
      <c r="YK89" s="149"/>
      <c r="YL89" s="149"/>
      <c r="YM89" s="149"/>
      <c r="YN89" s="149"/>
      <c r="YO89" s="149"/>
      <c r="YP89" s="149"/>
      <c r="YQ89" s="149"/>
      <c r="YR89" s="149"/>
      <c r="YS89" s="149"/>
      <c r="YT89" s="149"/>
      <c r="YU89" s="149"/>
      <c r="YV89" s="149"/>
      <c r="YW89" s="149"/>
      <c r="YX89" s="149"/>
      <c r="YY89" s="149"/>
      <c r="YZ89" s="149"/>
      <c r="ZA89" s="149"/>
      <c r="ZB89" s="149"/>
      <c r="ZC89" s="149"/>
      <c r="ZD89" s="149"/>
      <c r="ZE89" s="149"/>
      <c r="ZF89" s="149"/>
      <c r="ZG89" s="149"/>
      <c r="ZH89" s="149"/>
      <c r="ZI89" s="149"/>
      <c r="ZJ89" s="149"/>
      <c r="ZK89" s="149"/>
      <c r="ZL89" s="149"/>
      <c r="ZM89" s="149"/>
      <c r="ZN89" s="149"/>
      <c r="ZO89" s="149"/>
      <c r="ZP89" s="149"/>
      <c r="ZQ89" s="149"/>
      <c r="ZR89" s="149"/>
      <c r="ZS89" s="149"/>
      <c r="ZT89" s="149"/>
      <c r="ZU89" s="149"/>
      <c r="ZV89" s="149"/>
      <c r="ZW89" s="149"/>
      <c r="ZX89" s="149"/>
      <c r="ZY89" s="149"/>
      <c r="ZZ89" s="149"/>
      <c r="AAA89" s="149"/>
      <c r="AAB89" s="149"/>
      <c r="AAC89" s="149"/>
      <c r="AAD89" s="149"/>
      <c r="AAE89" s="149"/>
      <c r="AAF89" s="149"/>
      <c r="AAG89" s="149"/>
      <c r="AAH89" s="149"/>
      <c r="AAI89" s="149"/>
      <c r="AAJ89" s="149"/>
      <c r="AAK89" s="149"/>
      <c r="AAL89" s="149"/>
      <c r="AAM89" s="149"/>
      <c r="AAN89" s="149"/>
      <c r="AAO89" s="149"/>
      <c r="AAP89" s="149"/>
      <c r="AAQ89" s="149"/>
      <c r="AAR89" s="149"/>
      <c r="AAS89" s="149"/>
      <c r="AAT89" s="149"/>
      <c r="AAU89" s="149"/>
      <c r="AAV89" s="149"/>
      <c r="AAW89" s="149"/>
      <c r="AAX89" s="149"/>
      <c r="AAY89" s="149"/>
      <c r="AAZ89" s="149"/>
      <c r="ABA89" s="149"/>
      <c r="ABB89" s="149"/>
      <c r="ABC89" s="149"/>
      <c r="ABD89" s="149"/>
      <c r="ABE89" s="149"/>
      <c r="ABF89" s="149"/>
      <c r="ABG89" s="149"/>
      <c r="ABH89" s="149"/>
      <c r="ABI89" s="149"/>
      <c r="ABJ89" s="149"/>
      <c r="ABK89" s="149"/>
      <c r="ABL89" s="149"/>
      <c r="ABM89" s="149"/>
      <c r="ABN89" s="149"/>
      <c r="ABO89" s="149"/>
      <c r="ABP89" s="149"/>
      <c r="ABQ89" s="149"/>
      <c r="ABR89" s="149"/>
      <c r="ABS89" s="149"/>
      <c r="ABT89" s="149"/>
      <c r="ABU89" s="149"/>
      <c r="ABV89" s="149"/>
      <c r="ABW89" s="149"/>
      <c r="ABX89" s="149"/>
      <c r="ABY89" s="149"/>
      <c r="ABZ89" s="149"/>
      <c r="ACA89" s="149"/>
      <c r="ACB89" s="149"/>
      <c r="ACC89" s="149"/>
      <c r="ACD89" s="149"/>
      <c r="ACE89" s="149"/>
      <c r="ACF89" s="149"/>
      <c r="ACG89" s="149"/>
      <c r="ACH89" s="149"/>
      <c r="ACI89" s="149"/>
      <c r="ACJ89" s="149"/>
      <c r="ACK89" s="149"/>
      <c r="ACL89" s="149"/>
      <c r="ACM89" s="149"/>
      <c r="ACN89" s="149"/>
      <c r="ACO89" s="149"/>
      <c r="ACP89" s="149"/>
      <c r="ACQ89" s="149"/>
      <c r="ACR89" s="149"/>
      <c r="ACS89" s="149"/>
      <c r="ACT89" s="149"/>
      <c r="ACU89" s="149"/>
      <c r="ACV89" s="149"/>
      <c r="ACW89" s="149"/>
      <c r="ACX89" s="149"/>
      <c r="ACY89" s="149"/>
      <c r="ACZ89" s="149"/>
      <c r="ADA89" s="149"/>
      <c r="ADB89" s="149"/>
      <c r="ADC89" s="149"/>
      <c r="ADD89" s="149"/>
      <c r="ADE89" s="149"/>
      <c r="ADF89" s="149"/>
      <c r="ADG89" s="149"/>
      <c r="ADH89" s="149"/>
      <c r="ADI89" s="149"/>
      <c r="ADJ89" s="149"/>
      <c r="ADK89" s="149"/>
      <c r="ADL89" s="149"/>
      <c r="ADM89" s="149"/>
      <c r="ADN89" s="149"/>
      <c r="ADO89" s="149"/>
      <c r="ADP89" s="149"/>
      <c r="ADQ89" s="149"/>
      <c r="ADR89" s="149"/>
      <c r="ADS89" s="149"/>
      <c r="ADT89" s="149"/>
      <c r="ADU89" s="149"/>
      <c r="ADV89" s="149"/>
      <c r="ADW89" s="149"/>
      <c r="ADX89" s="149"/>
      <c r="ADY89" s="149"/>
      <c r="ADZ89" s="149"/>
      <c r="AEA89" s="149"/>
      <c r="AEB89" s="149"/>
      <c r="AEC89" s="149"/>
      <c r="AED89" s="149"/>
      <c r="AEE89" s="149"/>
      <c r="AEF89" s="149"/>
      <c r="AEG89" s="149"/>
      <c r="AEH89" s="149"/>
      <c r="AEI89" s="149"/>
      <c r="AEJ89" s="149"/>
      <c r="AEK89" s="149"/>
      <c r="AEL89" s="149"/>
      <c r="AEM89" s="149"/>
      <c r="AEN89" s="149"/>
      <c r="AEO89" s="149"/>
      <c r="AEP89" s="149"/>
      <c r="AEQ89" s="149"/>
      <c r="AER89" s="149"/>
      <c r="AES89" s="149"/>
      <c r="AET89" s="149"/>
      <c r="AEU89" s="149"/>
      <c r="AEV89" s="149"/>
      <c r="AEW89" s="149"/>
      <c r="AEX89" s="149"/>
      <c r="AEY89" s="149"/>
      <c r="AEZ89" s="149"/>
      <c r="AFA89" s="149"/>
      <c r="AFB89" s="149"/>
      <c r="AFC89" s="149"/>
      <c r="AFD89" s="149"/>
      <c r="AFE89" s="149"/>
      <c r="AFF89" s="149"/>
      <c r="AFG89" s="149"/>
      <c r="AFH89" s="149"/>
      <c r="AFI89" s="149"/>
      <c r="AFJ89" s="149"/>
      <c r="AFK89" s="149"/>
      <c r="AFL89" s="149"/>
      <c r="AFM89" s="149"/>
      <c r="AFN89" s="149"/>
      <c r="AFO89" s="149"/>
      <c r="AFP89" s="149"/>
      <c r="AFQ89" s="149"/>
      <c r="AFR89" s="149"/>
      <c r="AFS89" s="149"/>
      <c r="AFT89" s="149"/>
      <c r="AFU89" s="149"/>
      <c r="AFV89" s="149"/>
      <c r="AFW89" s="149"/>
      <c r="AFX89" s="149"/>
      <c r="AFY89" s="149"/>
      <c r="AFZ89" s="149"/>
      <c r="AGA89" s="149"/>
      <c r="AGB89" s="149"/>
      <c r="AGC89" s="149"/>
      <c r="AGD89" s="149"/>
      <c r="AGE89" s="149"/>
      <c r="AGF89" s="149"/>
      <c r="AGG89" s="149"/>
      <c r="AGH89" s="149"/>
      <c r="AGI89" s="149"/>
      <c r="AGJ89" s="149"/>
      <c r="AGK89" s="149"/>
      <c r="AGL89" s="149"/>
      <c r="AGM89" s="149"/>
      <c r="AGN89" s="149"/>
      <c r="AGO89" s="149"/>
      <c r="AGP89" s="149"/>
      <c r="AGQ89" s="149"/>
      <c r="AGR89" s="149"/>
      <c r="AGS89" s="149"/>
      <c r="AGT89" s="149"/>
      <c r="AGU89" s="149"/>
      <c r="AGV89" s="149"/>
      <c r="AGW89" s="149"/>
      <c r="AGX89" s="149"/>
      <c r="AGY89" s="149"/>
      <c r="AGZ89" s="149"/>
      <c r="AHA89" s="149"/>
      <c r="AHB89" s="149"/>
      <c r="AHC89" s="149"/>
      <c r="AHD89" s="149"/>
      <c r="AHE89" s="149"/>
      <c r="AHF89" s="149"/>
      <c r="AHG89" s="149"/>
      <c r="AHH89" s="149"/>
      <c r="AHI89" s="149"/>
      <c r="AHJ89" s="149"/>
      <c r="AHK89" s="149"/>
      <c r="AHL89" s="149"/>
      <c r="AHM89" s="149"/>
      <c r="AHN89" s="149"/>
      <c r="AHO89" s="149"/>
      <c r="AHP89" s="149"/>
      <c r="AHQ89" s="149"/>
      <c r="AHR89" s="149"/>
      <c r="AHS89" s="149"/>
      <c r="AHT89" s="149"/>
      <c r="AHU89" s="149"/>
      <c r="AHV89" s="149"/>
      <c r="AHW89" s="149"/>
      <c r="AHX89" s="149"/>
      <c r="AHY89" s="149"/>
      <c r="AHZ89" s="149"/>
      <c r="AIA89" s="149"/>
      <c r="AIB89" s="149"/>
      <c r="AIC89" s="149"/>
      <c r="AID89" s="149"/>
      <c r="AIE89" s="149"/>
      <c r="AIF89" s="149"/>
      <c r="AIG89" s="149"/>
      <c r="AIH89" s="149"/>
      <c r="AII89" s="149"/>
      <c r="AIJ89" s="149"/>
      <c r="AIK89" s="149"/>
      <c r="AIL89" s="149"/>
      <c r="AIM89" s="149"/>
      <c r="AIN89" s="149"/>
      <c r="AIO89" s="149"/>
      <c r="AIP89" s="149"/>
      <c r="AIQ89" s="149"/>
      <c r="AIR89" s="149"/>
      <c r="AIS89" s="149"/>
      <c r="AIT89" s="149"/>
      <c r="AIU89" s="149"/>
      <c r="AIV89" s="149"/>
      <c r="AIW89" s="149"/>
      <c r="AIX89" s="149"/>
      <c r="AIY89" s="149"/>
      <c r="AIZ89" s="149"/>
      <c r="AJA89" s="149"/>
      <c r="AJB89" s="149"/>
      <c r="AJC89" s="149"/>
      <c r="AJD89" s="149"/>
      <c r="AJE89" s="149"/>
      <c r="AJF89" s="149"/>
      <c r="AJG89" s="149"/>
      <c r="AJH89" s="149"/>
      <c r="AJI89" s="149"/>
      <c r="AJJ89" s="149"/>
      <c r="AJK89" s="149"/>
      <c r="AJL89" s="149"/>
      <c r="AJM89" s="149"/>
      <c r="AJN89" s="149"/>
      <c r="AJO89" s="149"/>
      <c r="AJP89" s="149"/>
      <c r="AJQ89" s="149"/>
      <c r="AJR89" s="149"/>
      <c r="AJS89" s="149"/>
      <c r="AJT89" s="149"/>
      <c r="AJU89" s="149"/>
      <c r="AJV89" s="149"/>
      <c r="AJW89" s="149"/>
      <c r="AJX89" s="149"/>
      <c r="AJY89" s="149"/>
      <c r="AJZ89" s="149"/>
      <c r="AKA89" s="149"/>
      <c r="AKB89" s="149"/>
      <c r="AKC89" s="149"/>
      <c r="AKD89" s="149"/>
      <c r="AKE89" s="149"/>
      <c r="AKF89" s="149"/>
      <c r="AKG89" s="149"/>
      <c r="AKH89" s="149"/>
      <c r="AKI89" s="149"/>
      <c r="AKJ89" s="149"/>
      <c r="AKK89" s="149"/>
      <c r="AKL89" s="149"/>
      <c r="AKM89" s="149"/>
      <c r="AKN89" s="149"/>
      <c r="AKO89" s="149"/>
      <c r="AKP89" s="149"/>
      <c r="AKQ89" s="149"/>
      <c r="AKR89" s="149"/>
      <c r="AKS89" s="149"/>
      <c r="AKT89" s="149"/>
      <c r="AKU89" s="149"/>
      <c r="AKV89" s="149"/>
      <c r="AKW89" s="149"/>
      <c r="AKX89" s="149"/>
      <c r="AKY89" s="149"/>
      <c r="AKZ89" s="149"/>
      <c r="ALA89" s="149"/>
      <c r="ALB89" s="149"/>
      <c r="ALC89" s="149"/>
      <c r="ALD89" s="149"/>
      <c r="ALE89" s="149"/>
      <c r="ALF89" s="149"/>
      <c r="ALG89" s="149"/>
      <c r="ALH89" s="149"/>
      <c r="ALI89" s="149"/>
      <c r="ALJ89" s="149"/>
      <c r="ALK89" s="149"/>
      <c r="ALL89" s="149"/>
      <c r="ALM89" s="149"/>
      <c r="ALN89" s="149"/>
      <c r="ALO89" s="149"/>
      <c r="ALP89" s="149"/>
      <c r="ALQ89" s="149"/>
      <c r="ALR89" s="149"/>
      <c r="ALS89" s="149"/>
      <c r="ALT89" s="149"/>
      <c r="ALU89" s="149"/>
      <c r="ALV89" s="149"/>
      <c r="ALW89" s="149"/>
      <c r="ALX89" s="149"/>
      <c r="ALY89" s="149"/>
      <c r="ALZ89" s="149"/>
      <c r="AMA89" s="149"/>
      <c r="AMB89" s="149"/>
      <c r="AMC89" s="149"/>
      <c r="AMD89" s="149"/>
      <c r="AME89" s="149"/>
    </row>
    <row r="90" spans="1:1019"/>
    <row r="91" spans="1:1019"/>
    <row r="92" spans="1:1019"/>
    <row r="93" spans="1:1019"/>
    <row r="94" spans="1:1019"/>
    <row r="95" spans="1:1019"/>
    <row r="96" spans="1:1019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</sheetData>
  <sheetProtection password="CF7A" sheet="1" objects="1" scenarios="1" insertRows="0"/>
  <customSheetViews>
    <customSheetView guid="{5E113600-004F-4409-A088-DFECFF9BC96A}" showGridLines="0" showAutoFilter="1" hiddenRows="1" hiddenColumns="1">
      <pane xSplit="10" ySplit="5" topLeftCell="K42" activePane="bottomRight" state="frozen"/>
      <selection pane="bottomRight" activeCell="AL54" sqref="AL54"/>
      <pageMargins left="0.7" right="0.7" top="0.75" bottom="0.75" header="0.51180555555555496" footer="0.51180555555555496"/>
      <pageSetup paperSize="9" firstPageNumber="0" orientation="portrait" horizontalDpi="300" verticalDpi="300" r:id="rId1"/>
      <autoFilter ref="A5:AME104" xr:uid="{96E5CD93-D4D7-46BF-86FF-886F55FA6307}"/>
    </customSheetView>
    <customSheetView guid="{1F97382E-80B0-473D-874E-BD5E60D01A4B}" showGridLines="0" showAutoFilter="1" hiddenRows="1" hiddenColumns="1">
      <pane xSplit="10" ySplit="5" topLeftCell="K42" activePane="bottomRight" state="frozen"/>
      <selection pane="bottomRight" activeCell="AL54" sqref="AL54"/>
      <pageMargins left="0.7" right="0.7" top="0.75" bottom="0.75" header="0.51180555555555496" footer="0.51180555555555496"/>
      <pageSetup paperSize="9" firstPageNumber="0" orientation="portrait" horizontalDpi="300" verticalDpi="300" r:id="rId2"/>
      <autoFilter ref="A5:AME104" xr:uid="{14686253-79FE-4072-8820-0E26F4A851FC}"/>
    </customSheetView>
    <customSheetView guid="{7663FDEA-AE2F-416B-8123-1D493B6639C0}" showGridLines="0" showAutoFilter="1" hiddenRows="1" hiddenColumns="1">
      <pane xSplit="10" ySplit="5" topLeftCell="K42" activePane="bottomRight" state="frozen"/>
      <selection pane="bottomRight" activeCell="AL54" sqref="AL54"/>
      <pageMargins left="0.7" right="0.7" top="0.75" bottom="0.75" header="0.51180555555555496" footer="0.51180555555555496"/>
      <pageSetup paperSize="9" firstPageNumber="0" orientation="portrait" horizontalDpi="300" verticalDpi="300" r:id="rId3"/>
      <autoFilter ref="A5:AME104" xr:uid="{3B837B00-5871-4ECB-826A-1B4434D19288}"/>
    </customSheetView>
    <customSheetView guid="{C287C8AD-6E2E-4D5F-930B-C18EF9030790}" showGridLines="0" showAutoFilter="1" hiddenRows="1" hiddenColumns="1">
      <pane xSplit="10" ySplit="5" topLeftCell="K42" activePane="bottomRight" state="frozen"/>
      <selection pane="bottomRight" activeCell="AL54" sqref="AL54"/>
      <pageMargins left="0.7" right="0.7" top="0.75" bottom="0.75" header="0.51180555555555496" footer="0.51180555555555496"/>
      <pageSetup paperSize="9" firstPageNumber="0" orientation="portrait" horizontalDpi="300" verticalDpi="300" r:id="rId4"/>
      <autoFilter ref="A5:AME104" xr:uid="{71010B6C-0258-4DBE-8572-73F8BC197564}"/>
    </customSheetView>
  </customSheetViews>
  <mergeCells count="1">
    <mergeCell ref="B2:V2"/>
  </mergeCells>
  <conditionalFormatting sqref="B4:I4 K4:AO4">
    <cfRule type="containsText" dxfId="1309" priority="22" operator="containsText" text="sat"/>
    <cfRule type="containsText" dxfId="1308" priority="23" operator="containsText" text="sun"/>
  </conditionalFormatting>
  <conditionalFormatting sqref="D6:E7">
    <cfRule type="duplicateValues" priority="14"/>
    <cfRule type="duplicateValues" priority="15"/>
    <cfRule type="duplicateValues" priority="16"/>
    <cfRule type="duplicateValues" priority="17"/>
  </conditionalFormatting>
  <conditionalFormatting sqref="D8:E8">
    <cfRule type="duplicateValues" priority="18"/>
    <cfRule type="duplicateValues" priority="19"/>
    <cfRule type="duplicateValues" priority="20"/>
    <cfRule type="duplicateValues" priority="21"/>
  </conditionalFormatting>
  <conditionalFormatting sqref="D9:E9 D11:E81">
    <cfRule type="duplicateValues" priority="24"/>
    <cfRule type="duplicateValues" priority="25"/>
    <cfRule type="duplicateValues" priority="26"/>
    <cfRule type="duplicateValues" priority="27"/>
  </conditionalFormatting>
  <conditionalFormatting sqref="D10:E10">
    <cfRule type="duplicateValues" priority="10"/>
    <cfRule type="duplicateValues" priority="11"/>
    <cfRule type="duplicateValues" priority="12"/>
    <cfRule type="duplicateValues" priority="13"/>
  </conditionalFormatting>
  <conditionalFormatting sqref="J1:J1048576 AP1:AT1048576 AW1:AW1048576">
    <cfRule type="cellIs" dxfId="1307" priority="5" operator="lessThan">
      <formula>0</formula>
    </cfRule>
  </conditionalFormatting>
  <conditionalFormatting sqref="AX5">
    <cfRule type="cellIs" dxfId="1306" priority="4" operator="lessThan">
      <formula>0</formula>
    </cfRule>
  </conditionalFormatting>
  <conditionalFormatting sqref="AX81">
    <cfRule type="cellIs" dxfId="1305" priority="1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V42"/>
  <sheetViews>
    <sheetView showGridLines="0" workbookViewId="0">
      <pane xSplit="3" ySplit="5" topLeftCell="D6" activePane="bottomRight" state="frozen"/>
      <selection pane="topRight" activeCell="D1" sqref="D1"/>
      <selection pane="bottomLeft" activeCell="A3" sqref="A3"/>
      <selection pane="bottomRight" activeCell="B2" sqref="B2:L2"/>
    </sheetView>
  </sheetViews>
  <sheetFormatPr defaultColWidth="0" defaultRowHeight="15" zeroHeight="1"/>
  <cols>
    <col min="1" max="1" width="5.5703125" style="188" bestFit="1" customWidth="1"/>
    <col min="2" max="2" width="10.7109375" style="188" bestFit="1" customWidth="1"/>
    <col min="3" max="3" width="8.42578125" style="188" bestFit="1" customWidth="1"/>
    <col min="4" max="4" width="2.7109375" style="188" customWidth="1"/>
    <col min="5" max="5" width="7.5703125" style="188" customWidth="1"/>
    <col min="6" max="6" width="7.85546875" style="188" customWidth="1"/>
    <col min="7" max="7" width="9.140625" style="188" customWidth="1"/>
    <col min="8" max="8" width="7.5703125" style="188" bestFit="1" customWidth="1"/>
    <col min="9" max="9" width="2.28515625" style="188" customWidth="1"/>
    <col min="10" max="10" width="6.85546875" style="188" customWidth="1"/>
    <col min="11" max="11" width="6.85546875" style="188" bestFit="1" customWidth="1"/>
    <col min="12" max="12" width="1.85546875" style="188" customWidth="1"/>
    <col min="13" max="13" width="14.42578125" style="188" customWidth="1"/>
    <col min="14" max="14" width="13.42578125" style="188" customWidth="1"/>
    <col min="15" max="15" width="3.42578125" style="188" customWidth="1"/>
    <col min="16" max="22" width="0" style="188" hidden="1" customWidth="1"/>
    <col min="23" max="16384" width="9.140625" style="188" hidden="1"/>
  </cols>
  <sheetData>
    <row r="1" spans="1:14" ht="15.75" thickBot="1"/>
    <row r="2" spans="1:14" ht="23.25" thickBot="1">
      <c r="B2" s="362" t="str">
        <f>Summary!R5&amp;" Food Report " &amp;  TEXT(Summary!R4,"MMMM-YYY")</f>
        <v>SOC Food Report February-2026</v>
      </c>
      <c r="C2" s="363"/>
      <c r="D2" s="363"/>
      <c r="E2" s="363"/>
      <c r="F2" s="363"/>
      <c r="G2" s="363"/>
      <c r="H2" s="363"/>
      <c r="I2" s="363"/>
      <c r="J2" s="363"/>
      <c r="K2" s="363"/>
      <c r="L2" s="364"/>
    </row>
    <row r="3" spans="1:14" ht="15.75" thickBot="1"/>
    <row r="4" spans="1:14" ht="15.75" customHeight="1">
      <c r="A4" s="365" t="s">
        <v>189</v>
      </c>
      <c r="B4" s="367" t="s">
        <v>3</v>
      </c>
      <c r="C4" s="189" t="s">
        <v>1</v>
      </c>
      <c r="D4" s="190"/>
      <c r="E4" s="369" t="s">
        <v>275</v>
      </c>
      <c r="F4" s="370"/>
      <c r="G4" s="371" t="s">
        <v>197</v>
      </c>
      <c r="H4" s="372"/>
      <c r="I4" s="191"/>
      <c r="J4" s="192" t="s">
        <v>258</v>
      </c>
      <c r="K4" s="192" t="s">
        <v>258</v>
      </c>
      <c r="M4" s="193" t="s">
        <v>258</v>
      </c>
      <c r="N4" s="194" t="s">
        <v>258</v>
      </c>
    </row>
    <row r="5" spans="1:14" ht="31.5">
      <c r="A5" s="366"/>
      <c r="B5" s="368"/>
      <c r="C5" s="195" t="s">
        <v>190</v>
      </c>
      <c r="D5" s="190"/>
      <c r="E5" s="196" t="s">
        <v>193</v>
      </c>
      <c r="F5" s="197" t="s">
        <v>194</v>
      </c>
      <c r="G5" s="196" t="s">
        <v>191</v>
      </c>
      <c r="H5" s="196" t="s">
        <v>192</v>
      </c>
      <c r="I5" s="191"/>
      <c r="J5" s="197" t="s">
        <v>195</v>
      </c>
      <c r="K5" s="197" t="s">
        <v>196</v>
      </c>
      <c r="M5" s="198" t="s">
        <v>195</v>
      </c>
      <c r="N5" s="199" t="s">
        <v>4</v>
      </c>
    </row>
    <row r="6" spans="1:14">
      <c r="A6" s="200" t="str">
        <f>TEXT(B6,"ddd")</f>
        <v>Sun</v>
      </c>
      <c r="B6" s="201">
        <f>Summary!R4</f>
        <v>46054</v>
      </c>
      <c r="C6" s="202">
        <f>IF(OR(WEEKDAY(B6)=4, WEEKDAY(B6)=6), 75, IF(OR(WEEKDAY(B6)=1, WEEKDAY(B6)=7), 0, 70))</f>
        <v>0</v>
      </c>
      <c r="D6" s="191"/>
      <c r="E6" s="281"/>
      <c r="F6" s="281"/>
      <c r="G6" s="281"/>
      <c r="H6" s="281"/>
      <c r="I6" s="191"/>
      <c r="J6" s="203">
        <f t="shared" ref="J6:K36" si="0">G6+E6</f>
        <v>0</v>
      </c>
      <c r="K6" s="203">
        <f t="shared" si="0"/>
        <v>0</v>
      </c>
      <c r="L6" s="191"/>
      <c r="M6" s="203">
        <f t="shared" ref="M6:M36" si="1">C6*J6</f>
        <v>0</v>
      </c>
      <c r="N6" s="203">
        <f>K6*$C6</f>
        <v>0</v>
      </c>
    </row>
    <row r="7" spans="1:14">
      <c r="A7" s="200" t="str">
        <f t="shared" ref="A7:A36" si="2">TEXT(B7,"ddd")</f>
        <v>Mon</v>
      </c>
      <c r="B7" s="201">
        <f t="shared" ref="B7:B36" si="3">B6+1</f>
        <v>46055</v>
      </c>
      <c r="C7" s="202">
        <f t="shared" ref="C7:C36" si="4">IF(OR(WEEKDAY(B7)=4, WEEKDAY(B7)=6), 75, IF(OR(WEEKDAY(B7)=1, WEEKDAY(B7)=7), 0, 70))</f>
        <v>70</v>
      </c>
      <c r="D7" s="191"/>
      <c r="E7" s="281"/>
      <c r="F7" s="281"/>
      <c r="G7" s="281"/>
      <c r="H7" s="281"/>
      <c r="I7" s="191"/>
      <c r="J7" s="203">
        <f t="shared" si="0"/>
        <v>0</v>
      </c>
      <c r="K7" s="203">
        <f t="shared" si="0"/>
        <v>0</v>
      </c>
      <c r="L7" s="191"/>
      <c r="M7" s="203">
        <f t="shared" si="1"/>
        <v>0</v>
      </c>
      <c r="N7" s="203">
        <f t="shared" ref="N7:N8" si="5">K7*$C7</f>
        <v>0</v>
      </c>
    </row>
    <row r="8" spans="1:14">
      <c r="A8" s="200" t="str">
        <f t="shared" si="2"/>
        <v>Tue</v>
      </c>
      <c r="B8" s="201">
        <f t="shared" si="3"/>
        <v>46056</v>
      </c>
      <c r="C8" s="202">
        <f t="shared" si="4"/>
        <v>70</v>
      </c>
      <c r="D8" s="191"/>
      <c r="E8" s="281"/>
      <c r="F8" s="281"/>
      <c r="G8" s="281"/>
      <c r="H8" s="281"/>
      <c r="I8" s="191"/>
      <c r="J8" s="203">
        <f t="shared" si="0"/>
        <v>0</v>
      </c>
      <c r="K8" s="203">
        <f t="shared" si="0"/>
        <v>0</v>
      </c>
      <c r="L8" s="191"/>
      <c r="M8" s="203">
        <f t="shared" si="1"/>
        <v>0</v>
      </c>
      <c r="N8" s="203">
        <f t="shared" si="5"/>
        <v>0</v>
      </c>
    </row>
    <row r="9" spans="1:14">
      <c r="A9" s="200" t="str">
        <f t="shared" si="2"/>
        <v>Wed</v>
      </c>
      <c r="B9" s="201">
        <f>B8+1</f>
        <v>46057</v>
      </c>
      <c r="C9" s="202">
        <f t="shared" si="4"/>
        <v>75</v>
      </c>
      <c r="D9" s="191"/>
      <c r="E9" s="281"/>
      <c r="F9" s="281"/>
      <c r="G9" s="281"/>
      <c r="H9" s="281"/>
      <c r="I9" s="204"/>
      <c r="J9" s="203">
        <f t="shared" si="0"/>
        <v>0</v>
      </c>
      <c r="K9" s="203">
        <f t="shared" si="0"/>
        <v>0</v>
      </c>
      <c r="L9" s="191"/>
      <c r="M9" s="203">
        <f t="shared" si="1"/>
        <v>0</v>
      </c>
      <c r="N9" s="203">
        <f>K9*$C9</f>
        <v>0</v>
      </c>
    </row>
    <row r="10" spans="1:14" ht="15.75" customHeight="1">
      <c r="A10" s="200" t="str">
        <f t="shared" si="2"/>
        <v>Thu</v>
      </c>
      <c r="B10" s="201">
        <f>B9+1</f>
        <v>46058</v>
      </c>
      <c r="C10" s="202">
        <f t="shared" si="4"/>
        <v>70</v>
      </c>
      <c r="D10" s="191"/>
      <c r="E10" s="281"/>
      <c r="F10" s="281"/>
      <c r="G10" s="281"/>
      <c r="H10" s="281"/>
      <c r="I10" s="191"/>
      <c r="J10" s="203">
        <f t="shared" si="0"/>
        <v>0</v>
      </c>
      <c r="K10" s="203">
        <f t="shared" si="0"/>
        <v>0</v>
      </c>
      <c r="L10" s="191"/>
      <c r="M10" s="203">
        <f t="shared" si="1"/>
        <v>0</v>
      </c>
      <c r="N10" s="203">
        <f>K10*$C10</f>
        <v>0</v>
      </c>
    </row>
    <row r="11" spans="1:14">
      <c r="A11" s="200" t="str">
        <f t="shared" si="2"/>
        <v>Fri</v>
      </c>
      <c r="B11" s="201">
        <f>B10+1</f>
        <v>46059</v>
      </c>
      <c r="C11" s="202">
        <f t="shared" si="4"/>
        <v>75</v>
      </c>
      <c r="D11" s="191"/>
      <c r="E11" s="281"/>
      <c r="F11" s="281"/>
      <c r="G11" s="281"/>
      <c r="H11" s="281"/>
      <c r="I11" s="191"/>
      <c r="J11" s="203">
        <f t="shared" si="0"/>
        <v>0</v>
      </c>
      <c r="K11" s="203">
        <f t="shared" si="0"/>
        <v>0</v>
      </c>
      <c r="L11" s="191"/>
      <c r="M11" s="203">
        <f t="shared" si="1"/>
        <v>0</v>
      </c>
      <c r="N11" s="203">
        <f>K11*$C11</f>
        <v>0</v>
      </c>
    </row>
    <row r="12" spans="1:14">
      <c r="A12" s="200" t="str">
        <f t="shared" si="2"/>
        <v>Sat</v>
      </c>
      <c r="B12" s="201">
        <f t="shared" si="3"/>
        <v>46060</v>
      </c>
      <c r="C12" s="202">
        <f t="shared" si="4"/>
        <v>0</v>
      </c>
      <c r="D12" s="191"/>
      <c r="E12" s="281"/>
      <c r="F12" s="281"/>
      <c r="G12" s="281"/>
      <c r="H12" s="281"/>
      <c r="I12" s="191"/>
      <c r="J12" s="203">
        <f t="shared" si="0"/>
        <v>0</v>
      </c>
      <c r="K12" s="203">
        <f t="shared" si="0"/>
        <v>0</v>
      </c>
      <c r="L12" s="191"/>
      <c r="M12" s="203">
        <f t="shared" si="1"/>
        <v>0</v>
      </c>
      <c r="N12" s="203">
        <f t="shared" ref="N12:N36" si="6">K12*$C12</f>
        <v>0</v>
      </c>
    </row>
    <row r="13" spans="1:14">
      <c r="A13" s="200" t="str">
        <f t="shared" si="2"/>
        <v>Sun</v>
      </c>
      <c r="B13" s="201">
        <f t="shared" si="3"/>
        <v>46061</v>
      </c>
      <c r="C13" s="202">
        <f t="shared" si="4"/>
        <v>0</v>
      </c>
      <c r="D13" s="191"/>
      <c r="E13" s="281"/>
      <c r="F13" s="281"/>
      <c r="G13" s="281"/>
      <c r="H13" s="281"/>
      <c r="I13" s="191"/>
      <c r="J13" s="203">
        <f t="shared" si="0"/>
        <v>0</v>
      </c>
      <c r="K13" s="203">
        <f t="shared" si="0"/>
        <v>0</v>
      </c>
      <c r="L13" s="191"/>
      <c r="M13" s="203">
        <f t="shared" si="1"/>
        <v>0</v>
      </c>
      <c r="N13" s="203">
        <f t="shared" si="6"/>
        <v>0</v>
      </c>
    </row>
    <row r="14" spans="1:14">
      <c r="A14" s="200" t="str">
        <f t="shared" si="2"/>
        <v>Mon</v>
      </c>
      <c r="B14" s="201">
        <f t="shared" si="3"/>
        <v>46062</v>
      </c>
      <c r="C14" s="202">
        <f t="shared" si="4"/>
        <v>70</v>
      </c>
      <c r="D14" s="191"/>
      <c r="E14" s="281"/>
      <c r="F14" s="281"/>
      <c r="G14" s="281"/>
      <c r="H14" s="281"/>
      <c r="I14" s="191"/>
      <c r="J14" s="203">
        <f t="shared" si="0"/>
        <v>0</v>
      </c>
      <c r="K14" s="203">
        <f t="shared" si="0"/>
        <v>0</v>
      </c>
      <c r="L14" s="191"/>
      <c r="M14" s="203">
        <f t="shared" si="1"/>
        <v>0</v>
      </c>
      <c r="N14" s="203">
        <f t="shared" si="6"/>
        <v>0</v>
      </c>
    </row>
    <row r="15" spans="1:14">
      <c r="A15" s="200" t="str">
        <f t="shared" si="2"/>
        <v>Tue</v>
      </c>
      <c r="B15" s="201">
        <f t="shared" si="3"/>
        <v>46063</v>
      </c>
      <c r="C15" s="202">
        <f t="shared" si="4"/>
        <v>70</v>
      </c>
      <c r="D15" s="191"/>
      <c r="E15" s="281"/>
      <c r="F15" s="281"/>
      <c r="G15" s="281"/>
      <c r="H15" s="281"/>
      <c r="I15" s="191"/>
      <c r="J15" s="203">
        <f t="shared" si="0"/>
        <v>0</v>
      </c>
      <c r="K15" s="203">
        <f t="shared" si="0"/>
        <v>0</v>
      </c>
      <c r="L15" s="191"/>
      <c r="M15" s="203">
        <f t="shared" si="1"/>
        <v>0</v>
      </c>
      <c r="N15" s="203">
        <f t="shared" si="6"/>
        <v>0</v>
      </c>
    </row>
    <row r="16" spans="1:14">
      <c r="A16" s="200" t="str">
        <f t="shared" si="2"/>
        <v>Wed</v>
      </c>
      <c r="B16" s="201">
        <f t="shared" si="3"/>
        <v>46064</v>
      </c>
      <c r="C16" s="202">
        <f t="shared" si="4"/>
        <v>75</v>
      </c>
      <c r="D16" s="191"/>
      <c r="E16" s="281"/>
      <c r="F16" s="281"/>
      <c r="G16" s="281"/>
      <c r="H16" s="281"/>
      <c r="I16" s="191"/>
      <c r="J16" s="203">
        <f t="shared" si="0"/>
        <v>0</v>
      </c>
      <c r="K16" s="203">
        <f t="shared" si="0"/>
        <v>0</v>
      </c>
      <c r="L16" s="191"/>
      <c r="M16" s="203">
        <f t="shared" si="1"/>
        <v>0</v>
      </c>
      <c r="N16" s="203">
        <f t="shared" si="6"/>
        <v>0</v>
      </c>
    </row>
    <row r="17" spans="1:21">
      <c r="A17" s="200" t="str">
        <f t="shared" si="2"/>
        <v>Thu</v>
      </c>
      <c r="B17" s="201">
        <f t="shared" si="3"/>
        <v>46065</v>
      </c>
      <c r="C17" s="202">
        <f t="shared" si="4"/>
        <v>70</v>
      </c>
      <c r="D17" s="191"/>
      <c r="E17" s="281"/>
      <c r="F17" s="281"/>
      <c r="G17" s="281"/>
      <c r="H17" s="281"/>
      <c r="I17" s="191"/>
      <c r="J17" s="203">
        <f t="shared" si="0"/>
        <v>0</v>
      </c>
      <c r="K17" s="203">
        <f t="shared" si="0"/>
        <v>0</v>
      </c>
      <c r="L17" s="191"/>
      <c r="M17" s="203">
        <f t="shared" si="1"/>
        <v>0</v>
      </c>
      <c r="N17" s="203">
        <f t="shared" si="6"/>
        <v>0</v>
      </c>
    </row>
    <row r="18" spans="1:21">
      <c r="A18" s="200" t="str">
        <f t="shared" si="2"/>
        <v>Fri</v>
      </c>
      <c r="B18" s="201">
        <f t="shared" si="3"/>
        <v>46066</v>
      </c>
      <c r="C18" s="202">
        <f t="shared" si="4"/>
        <v>75</v>
      </c>
      <c r="D18" s="191"/>
      <c r="E18" s="281"/>
      <c r="F18" s="281"/>
      <c r="G18" s="281"/>
      <c r="H18" s="281"/>
      <c r="I18" s="191"/>
      <c r="J18" s="203">
        <f t="shared" si="0"/>
        <v>0</v>
      </c>
      <c r="K18" s="203">
        <f t="shared" si="0"/>
        <v>0</v>
      </c>
      <c r="L18" s="191"/>
      <c r="M18" s="203">
        <f t="shared" si="1"/>
        <v>0</v>
      </c>
      <c r="N18" s="203">
        <f t="shared" si="6"/>
        <v>0</v>
      </c>
    </row>
    <row r="19" spans="1:21" ht="15.75">
      <c r="A19" s="200" t="str">
        <f t="shared" si="2"/>
        <v>Sat</v>
      </c>
      <c r="B19" s="201">
        <f>B18+1</f>
        <v>46067</v>
      </c>
      <c r="C19" s="202">
        <f t="shared" si="4"/>
        <v>0</v>
      </c>
      <c r="D19" s="191"/>
      <c r="E19" s="281"/>
      <c r="F19" s="281"/>
      <c r="G19" s="281"/>
      <c r="H19" s="281"/>
      <c r="I19" s="191"/>
      <c r="J19" s="203">
        <f t="shared" si="0"/>
        <v>0</v>
      </c>
      <c r="K19" s="203">
        <f t="shared" si="0"/>
        <v>0</v>
      </c>
      <c r="L19" s="191"/>
      <c r="M19" s="203">
        <f t="shared" si="1"/>
        <v>0</v>
      </c>
      <c r="N19" s="203">
        <f t="shared" si="6"/>
        <v>0</v>
      </c>
      <c r="T19" s="358"/>
      <c r="U19" s="358"/>
    </row>
    <row r="20" spans="1:21">
      <c r="A20" s="200" t="str">
        <f t="shared" si="2"/>
        <v>Sun</v>
      </c>
      <c r="B20" s="201">
        <f t="shared" si="3"/>
        <v>46068</v>
      </c>
      <c r="C20" s="202">
        <f t="shared" si="4"/>
        <v>0</v>
      </c>
      <c r="D20" s="191"/>
      <c r="E20" s="281"/>
      <c r="F20" s="281"/>
      <c r="G20" s="281"/>
      <c r="H20" s="281"/>
      <c r="I20" s="191"/>
      <c r="J20" s="203">
        <f t="shared" si="0"/>
        <v>0</v>
      </c>
      <c r="K20" s="203">
        <f t="shared" si="0"/>
        <v>0</v>
      </c>
      <c r="L20" s="191"/>
      <c r="M20" s="203">
        <f t="shared" si="1"/>
        <v>0</v>
      </c>
      <c r="N20" s="203">
        <f t="shared" si="6"/>
        <v>0</v>
      </c>
    </row>
    <row r="21" spans="1:21">
      <c r="A21" s="200" t="str">
        <f t="shared" si="2"/>
        <v>Mon</v>
      </c>
      <c r="B21" s="201">
        <f t="shared" si="3"/>
        <v>46069</v>
      </c>
      <c r="C21" s="202">
        <f t="shared" si="4"/>
        <v>70</v>
      </c>
      <c r="D21" s="191"/>
      <c r="E21" s="281"/>
      <c r="F21" s="281"/>
      <c r="G21" s="281"/>
      <c r="H21" s="281"/>
      <c r="I21" s="191"/>
      <c r="J21" s="203">
        <f t="shared" si="0"/>
        <v>0</v>
      </c>
      <c r="K21" s="203">
        <f t="shared" si="0"/>
        <v>0</v>
      </c>
      <c r="L21" s="191"/>
      <c r="M21" s="203">
        <f t="shared" si="1"/>
        <v>0</v>
      </c>
      <c r="N21" s="203">
        <f t="shared" si="6"/>
        <v>0</v>
      </c>
    </row>
    <row r="22" spans="1:21">
      <c r="A22" s="200" t="str">
        <f t="shared" si="2"/>
        <v>Tue</v>
      </c>
      <c r="B22" s="201">
        <f t="shared" si="3"/>
        <v>46070</v>
      </c>
      <c r="C22" s="202">
        <f t="shared" si="4"/>
        <v>70</v>
      </c>
      <c r="D22" s="191"/>
      <c r="E22" s="281"/>
      <c r="F22" s="281"/>
      <c r="G22" s="281"/>
      <c r="H22" s="281"/>
      <c r="I22" s="191"/>
      <c r="J22" s="203">
        <f t="shared" si="0"/>
        <v>0</v>
      </c>
      <c r="K22" s="203">
        <f t="shared" si="0"/>
        <v>0</v>
      </c>
      <c r="L22" s="191"/>
      <c r="M22" s="203">
        <f t="shared" si="1"/>
        <v>0</v>
      </c>
      <c r="N22" s="203">
        <f t="shared" si="6"/>
        <v>0</v>
      </c>
    </row>
    <row r="23" spans="1:21">
      <c r="A23" s="200" t="str">
        <f t="shared" si="2"/>
        <v>Wed</v>
      </c>
      <c r="B23" s="201">
        <f t="shared" si="3"/>
        <v>46071</v>
      </c>
      <c r="C23" s="202">
        <f t="shared" si="4"/>
        <v>75</v>
      </c>
      <c r="D23" s="191"/>
      <c r="E23" s="281"/>
      <c r="F23" s="281"/>
      <c r="G23" s="281"/>
      <c r="H23" s="281"/>
      <c r="I23" s="191"/>
      <c r="J23" s="203">
        <f t="shared" si="0"/>
        <v>0</v>
      </c>
      <c r="K23" s="203">
        <f t="shared" si="0"/>
        <v>0</v>
      </c>
      <c r="L23" s="191"/>
      <c r="M23" s="203">
        <f t="shared" si="1"/>
        <v>0</v>
      </c>
      <c r="N23" s="203">
        <f t="shared" si="6"/>
        <v>0</v>
      </c>
    </row>
    <row r="24" spans="1:21">
      <c r="A24" s="200" t="str">
        <f t="shared" si="2"/>
        <v>Thu</v>
      </c>
      <c r="B24" s="201">
        <f t="shared" si="3"/>
        <v>46072</v>
      </c>
      <c r="C24" s="202">
        <f t="shared" si="4"/>
        <v>70</v>
      </c>
      <c r="D24" s="191"/>
      <c r="E24" s="281"/>
      <c r="F24" s="281"/>
      <c r="G24" s="281"/>
      <c r="H24" s="281"/>
      <c r="I24" s="191"/>
      <c r="J24" s="203">
        <f t="shared" si="0"/>
        <v>0</v>
      </c>
      <c r="K24" s="203">
        <f t="shared" si="0"/>
        <v>0</v>
      </c>
      <c r="L24" s="191"/>
      <c r="M24" s="203">
        <f t="shared" si="1"/>
        <v>0</v>
      </c>
      <c r="N24" s="203">
        <f t="shared" si="6"/>
        <v>0</v>
      </c>
    </row>
    <row r="25" spans="1:21">
      <c r="A25" s="200" t="str">
        <f t="shared" si="2"/>
        <v>Fri</v>
      </c>
      <c r="B25" s="201">
        <f t="shared" si="3"/>
        <v>46073</v>
      </c>
      <c r="C25" s="202">
        <f t="shared" si="4"/>
        <v>75</v>
      </c>
      <c r="D25" s="191"/>
      <c r="E25" s="281"/>
      <c r="F25" s="281"/>
      <c r="G25" s="281"/>
      <c r="H25" s="281"/>
      <c r="I25" s="191"/>
      <c r="J25" s="203">
        <f t="shared" si="0"/>
        <v>0</v>
      </c>
      <c r="K25" s="203">
        <f t="shared" si="0"/>
        <v>0</v>
      </c>
      <c r="L25" s="191"/>
      <c r="M25" s="203">
        <f t="shared" si="1"/>
        <v>0</v>
      </c>
      <c r="N25" s="203">
        <f t="shared" si="6"/>
        <v>0</v>
      </c>
    </row>
    <row r="26" spans="1:21">
      <c r="A26" s="200" t="str">
        <f t="shared" si="2"/>
        <v>Sat</v>
      </c>
      <c r="B26" s="201">
        <f t="shared" si="3"/>
        <v>46074</v>
      </c>
      <c r="C26" s="202">
        <f t="shared" si="4"/>
        <v>0</v>
      </c>
      <c r="D26" s="191"/>
      <c r="E26" s="281"/>
      <c r="F26" s="281"/>
      <c r="G26" s="281"/>
      <c r="H26" s="281"/>
      <c r="I26" s="191"/>
      <c r="J26" s="203">
        <f t="shared" si="0"/>
        <v>0</v>
      </c>
      <c r="K26" s="203">
        <f t="shared" si="0"/>
        <v>0</v>
      </c>
      <c r="L26" s="191"/>
      <c r="M26" s="203">
        <f t="shared" si="1"/>
        <v>0</v>
      </c>
      <c r="N26" s="203">
        <f t="shared" si="6"/>
        <v>0</v>
      </c>
    </row>
    <row r="27" spans="1:21">
      <c r="A27" s="200" t="str">
        <f t="shared" si="2"/>
        <v>Sun</v>
      </c>
      <c r="B27" s="201">
        <f t="shared" si="3"/>
        <v>46075</v>
      </c>
      <c r="C27" s="202">
        <f t="shared" si="4"/>
        <v>0</v>
      </c>
      <c r="D27" s="191"/>
      <c r="E27" s="281"/>
      <c r="F27" s="281"/>
      <c r="G27" s="281"/>
      <c r="H27" s="281"/>
      <c r="I27" s="191"/>
      <c r="J27" s="203">
        <f t="shared" si="0"/>
        <v>0</v>
      </c>
      <c r="K27" s="203">
        <f t="shared" si="0"/>
        <v>0</v>
      </c>
      <c r="L27" s="191"/>
      <c r="M27" s="203">
        <f t="shared" si="1"/>
        <v>0</v>
      </c>
      <c r="N27" s="203">
        <f t="shared" si="6"/>
        <v>0</v>
      </c>
    </row>
    <row r="28" spans="1:21">
      <c r="A28" s="200" t="str">
        <f t="shared" si="2"/>
        <v>Mon</v>
      </c>
      <c r="B28" s="201">
        <f t="shared" si="3"/>
        <v>46076</v>
      </c>
      <c r="C28" s="202">
        <f t="shared" si="4"/>
        <v>70</v>
      </c>
      <c r="D28" s="191"/>
      <c r="E28" s="281"/>
      <c r="F28" s="281"/>
      <c r="G28" s="281"/>
      <c r="H28" s="281"/>
      <c r="I28" s="191"/>
      <c r="J28" s="203">
        <f t="shared" si="0"/>
        <v>0</v>
      </c>
      <c r="K28" s="203">
        <f t="shared" si="0"/>
        <v>0</v>
      </c>
      <c r="L28" s="191"/>
      <c r="M28" s="203">
        <f t="shared" si="1"/>
        <v>0</v>
      </c>
      <c r="N28" s="203">
        <f t="shared" si="6"/>
        <v>0</v>
      </c>
    </row>
    <row r="29" spans="1:21">
      <c r="A29" s="200" t="str">
        <f t="shared" si="2"/>
        <v>Tue</v>
      </c>
      <c r="B29" s="201">
        <f t="shared" si="3"/>
        <v>46077</v>
      </c>
      <c r="C29" s="202">
        <f t="shared" si="4"/>
        <v>70</v>
      </c>
      <c r="D29" s="191"/>
      <c r="E29" s="281"/>
      <c r="F29" s="281"/>
      <c r="G29" s="281"/>
      <c r="H29" s="281"/>
      <c r="I29" s="191"/>
      <c r="J29" s="203">
        <f t="shared" si="0"/>
        <v>0</v>
      </c>
      <c r="K29" s="203">
        <f t="shared" si="0"/>
        <v>0</v>
      </c>
      <c r="L29" s="191"/>
      <c r="M29" s="203">
        <f t="shared" si="1"/>
        <v>0</v>
      </c>
      <c r="N29" s="203">
        <f t="shared" si="6"/>
        <v>0</v>
      </c>
    </row>
    <row r="30" spans="1:21">
      <c r="A30" s="200" t="str">
        <f t="shared" si="2"/>
        <v>Wed</v>
      </c>
      <c r="B30" s="201">
        <f t="shared" si="3"/>
        <v>46078</v>
      </c>
      <c r="C30" s="202">
        <f t="shared" si="4"/>
        <v>75</v>
      </c>
      <c r="D30" s="191"/>
      <c r="E30" s="281"/>
      <c r="F30" s="281"/>
      <c r="G30" s="281"/>
      <c r="H30" s="281"/>
      <c r="I30" s="191"/>
      <c r="J30" s="203">
        <f t="shared" si="0"/>
        <v>0</v>
      </c>
      <c r="K30" s="203">
        <f t="shared" si="0"/>
        <v>0</v>
      </c>
      <c r="L30" s="191"/>
      <c r="M30" s="203">
        <f t="shared" si="1"/>
        <v>0</v>
      </c>
      <c r="N30" s="203">
        <f t="shared" si="6"/>
        <v>0</v>
      </c>
    </row>
    <row r="31" spans="1:21">
      <c r="A31" s="200" t="str">
        <f t="shared" si="2"/>
        <v>Thu</v>
      </c>
      <c r="B31" s="201">
        <f t="shared" si="3"/>
        <v>46079</v>
      </c>
      <c r="C31" s="202">
        <f t="shared" si="4"/>
        <v>70</v>
      </c>
      <c r="D31" s="191"/>
      <c r="E31" s="281"/>
      <c r="F31" s="281"/>
      <c r="G31" s="281"/>
      <c r="H31" s="281"/>
      <c r="I31" s="191"/>
      <c r="J31" s="203">
        <f t="shared" si="0"/>
        <v>0</v>
      </c>
      <c r="K31" s="203">
        <f t="shared" si="0"/>
        <v>0</v>
      </c>
      <c r="L31" s="191"/>
      <c r="M31" s="203">
        <f t="shared" si="1"/>
        <v>0</v>
      </c>
      <c r="N31" s="203">
        <f t="shared" si="6"/>
        <v>0</v>
      </c>
    </row>
    <row r="32" spans="1:21">
      <c r="A32" s="200" t="str">
        <f t="shared" si="2"/>
        <v>Fri</v>
      </c>
      <c r="B32" s="201">
        <f t="shared" si="3"/>
        <v>46080</v>
      </c>
      <c r="C32" s="202">
        <f t="shared" si="4"/>
        <v>75</v>
      </c>
      <c r="D32" s="191"/>
      <c r="E32" s="281"/>
      <c r="F32" s="281"/>
      <c r="G32" s="281"/>
      <c r="H32" s="281"/>
      <c r="I32" s="191"/>
      <c r="J32" s="203">
        <f t="shared" si="0"/>
        <v>0</v>
      </c>
      <c r="K32" s="203">
        <f t="shared" si="0"/>
        <v>0</v>
      </c>
      <c r="L32" s="191"/>
      <c r="M32" s="203">
        <f t="shared" si="1"/>
        <v>0</v>
      </c>
      <c r="N32" s="203">
        <f t="shared" si="6"/>
        <v>0</v>
      </c>
    </row>
    <row r="33" spans="1:14">
      <c r="A33" s="200" t="str">
        <f t="shared" si="2"/>
        <v>Sat</v>
      </c>
      <c r="B33" s="201">
        <f t="shared" si="3"/>
        <v>46081</v>
      </c>
      <c r="C33" s="202">
        <f t="shared" si="4"/>
        <v>0</v>
      </c>
      <c r="D33" s="191"/>
      <c r="E33" s="281"/>
      <c r="F33" s="281"/>
      <c r="G33" s="281"/>
      <c r="H33" s="281"/>
      <c r="I33" s="191"/>
      <c r="J33" s="203">
        <f t="shared" si="0"/>
        <v>0</v>
      </c>
      <c r="K33" s="203">
        <f t="shared" si="0"/>
        <v>0</v>
      </c>
      <c r="L33" s="191"/>
      <c r="M33" s="203">
        <f t="shared" si="1"/>
        <v>0</v>
      </c>
      <c r="N33" s="203">
        <f t="shared" si="6"/>
        <v>0</v>
      </c>
    </row>
    <row r="34" spans="1:14">
      <c r="A34" s="200" t="str">
        <f t="shared" si="2"/>
        <v>Sun</v>
      </c>
      <c r="B34" s="201">
        <f t="shared" si="3"/>
        <v>46082</v>
      </c>
      <c r="C34" s="202">
        <f t="shared" si="4"/>
        <v>0</v>
      </c>
      <c r="D34" s="191"/>
      <c r="E34" s="281"/>
      <c r="F34" s="281"/>
      <c r="G34" s="281"/>
      <c r="H34" s="281"/>
      <c r="I34" s="191"/>
      <c r="J34" s="203">
        <f t="shared" si="0"/>
        <v>0</v>
      </c>
      <c r="K34" s="203">
        <f t="shared" si="0"/>
        <v>0</v>
      </c>
      <c r="L34" s="191"/>
      <c r="M34" s="203">
        <f t="shared" si="1"/>
        <v>0</v>
      </c>
      <c r="N34" s="203">
        <f t="shared" si="6"/>
        <v>0</v>
      </c>
    </row>
    <row r="35" spans="1:14">
      <c r="A35" s="200" t="str">
        <f t="shared" si="2"/>
        <v>Mon</v>
      </c>
      <c r="B35" s="201">
        <f t="shared" si="3"/>
        <v>46083</v>
      </c>
      <c r="C35" s="202">
        <v>75</v>
      </c>
      <c r="D35" s="191"/>
      <c r="E35" s="281"/>
      <c r="F35" s="281"/>
      <c r="G35" s="281"/>
      <c r="H35" s="281"/>
      <c r="I35" s="191"/>
      <c r="J35" s="203">
        <f t="shared" si="0"/>
        <v>0</v>
      </c>
      <c r="K35" s="203">
        <f t="shared" si="0"/>
        <v>0</v>
      </c>
      <c r="L35" s="191"/>
      <c r="M35" s="203">
        <f t="shared" si="1"/>
        <v>0</v>
      </c>
      <c r="N35" s="203">
        <f t="shared" si="6"/>
        <v>0</v>
      </c>
    </row>
    <row r="36" spans="1:14" ht="15.75" thickBot="1">
      <c r="A36" s="200" t="str">
        <f t="shared" si="2"/>
        <v>Tue</v>
      </c>
      <c r="B36" s="201">
        <f t="shared" si="3"/>
        <v>46084</v>
      </c>
      <c r="C36" s="202">
        <f t="shared" si="4"/>
        <v>70</v>
      </c>
      <c r="D36" s="191"/>
      <c r="E36" s="281"/>
      <c r="F36" s="281"/>
      <c r="G36" s="281"/>
      <c r="H36" s="281"/>
      <c r="I36" s="191"/>
      <c r="J36" s="203">
        <f t="shared" si="0"/>
        <v>0</v>
      </c>
      <c r="K36" s="203">
        <f t="shared" si="0"/>
        <v>0</v>
      </c>
      <c r="L36" s="191"/>
      <c r="M36" s="203">
        <f t="shared" si="1"/>
        <v>0</v>
      </c>
      <c r="N36" s="203">
        <f t="shared" si="6"/>
        <v>0</v>
      </c>
    </row>
    <row r="37" spans="1:14" ht="16.5" thickBot="1">
      <c r="A37" s="359" t="s">
        <v>62</v>
      </c>
      <c r="B37" s="360"/>
      <c r="C37" s="361"/>
      <c r="D37" s="190"/>
      <c r="E37" s="205">
        <f>SUM(E6:E36)</f>
        <v>0</v>
      </c>
      <c r="F37" s="205">
        <f>SUM(F6:F36)</f>
        <v>0</v>
      </c>
      <c r="G37" s="205">
        <f>SUM(G6:G36)</f>
        <v>0</v>
      </c>
      <c r="H37" s="205">
        <f>SUM(H6:H36)</f>
        <v>0</v>
      </c>
      <c r="I37" s="191"/>
      <c r="J37" s="205">
        <f>SUM(J6:J36)</f>
        <v>0</v>
      </c>
      <c r="K37" s="205">
        <f>SUM(K6:K36)</f>
        <v>0</v>
      </c>
      <c r="L37" s="191"/>
      <c r="M37" s="205">
        <f>SUM(M6:M36)</f>
        <v>0</v>
      </c>
      <c r="N37" s="205">
        <f>SUM(N6:N36)</f>
        <v>0</v>
      </c>
    </row>
    <row r="38" spans="1:14"/>
    <row r="39" spans="1:14"/>
    <row r="40" spans="1:14"/>
    <row r="41" spans="1:14"/>
    <row r="42" spans="1:14"/>
  </sheetData>
  <sheetProtection algorithmName="SHA-512" hashValue="nWXuXGFHTWSTMe+q7EhuiYkcfyKyeMPRmHxmlUVpC3zO+CmQi41xdinhcz4r5a/WGM0dkCOmakzLlrB2Be6gPA==" saltValue="+LlJWthDPwK67xxacw/OOw==" spinCount="100000" sheet="1" objects="1" scenarios="1"/>
  <customSheetViews>
    <customSheetView guid="{5E113600-004F-4409-A088-DFECFF9BC96A}" showGridLines="0" hiddenRows="1" hiddenColumns="1">
      <pane xSplit="3" ySplit="5" topLeftCell="D6" activePane="bottomRight" state="frozen"/>
      <selection pane="bottomRight" activeCell="E6" sqref="E6"/>
      <pageMargins left="0.7" right="0.7" top="0.75" bottom="0.75" header="0.3" footer="0.3"/>
    </customSheetView>
    <customSheetView guid="{1F97382E-80B0-473D-874E-BD5E60D01A4B}" showGridLines="0" hiddenRows="1" hiddenColumns="1">
      <pane xSplit="3" ySplit="5" topLeftCell="D6" activePane="bottomRight" state="frozen"/>
      <selection pane="bottomRight" activeCell="E6" sqref="E6"/>
      <pageMargins left="0.7" right="0.7" top="0.75" bottom="0.75" header="0.3" footer="0.3"/>
    </customSheetView>
    <customSheetView guid="{7663FDEA-AE2F-416B-8123-1D493B6639C0}" showGridLines="0" hiddenRows="1" hiddenColumns="1">
      <pane xSplit="3" ySplit="5" topLeftCell="D6" activePane="bottomRight" state="frozen"/>
      <selection pane="bottomRight" activeCell="E6" sqref="E6"/>
      <pageMargins left="0.7" right="0.7" top="0.75" bottom="0.75" header="0.3" footer="0.3"/>
    </customSheetView>
    <customSheetView guid="{C287C8AD-6E2E-4D5F-930B-C18EF9030790}" showGridLines="0" hiddenRows="1" hiddenColumns="1">
      <pane xSplit="3" ySplit="5" topLeftCell="D6" activePane="bottomRight" state="frozen"/>
      <selection pane="bottomRight" activeCell="E6" sqref="E6"/>
      <pageMargins left="0.7" right="0.7" top="0.75" bottom="0.75" header="0.3" footer="0.3"/>
    </customSheetView>
  </customSheetViews>
  <mergeCells count="7">
    <mergeCell ref="T19:U19"/>
    <mergeCell ref="A37:C37"/>
    <mergeCell ref="B2:L2"/>
    <mergeCell ref="A4:A5"/>
    <mergeCell ref="B4:B5"/>
    <mergeCell ref="E4:F4"/>
    <mergeCell ref="G4:H4"/>
  </mergeCells>
  <conditionalFormatting sqref="A6:N36">
    <cfRule type="expression" dxfId="1304" priority="1">
      <formula>$A6="Sat"</formula>
    </cfRule>
    <cfRule type="expression" dxfId="1303" priority="2">
      <formula>$A6="Sun"</formula>
    </cfRule>
  </conditionalFormatting>
  <conditionalFormatting sqref="E6:H36 J6:K36 M6:N36">
    <cfRule type="expression" dxfId="1302" priority="3" stopIfTrue="1">
      <formula>$C6=81</formula>
    </cfRule>
  </conditionalFormatting>
  <conditionalFormatting sqref="I9">
    <cfRule type="expression" dxfId="1301" priority="4" stopIfTrue="1">
      <formula>$C9=81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ML15"/>
  <sheetViews>
    <sheetView showGridLines="0" zoomScaleNormal="100" workbookViewId="0">
      <pane xSplit="14" ySplit="5" topLeftCell="O6" activePane="bottomRight" state="frozen"/>
      <selection pane="topRight" activeCell="J1" sqref="J1"/>
      <selection pane="bottomLeft" activeCell="A5" sqref="A5"/>
      <selection pane="bottomRight" activeCell="AA7" sqref="AA7"/>
    </sheetView>
  </sheetViews>
  <sheetFormatPr defaultColWidth="0" defaultRowHeight="15"/>
  <cols>
    <col min="1" max="1" width="1.85546875" style="178" customWidth="1"/>
    <col min="2" max="2" width="6.140625" style="149" bestFit="1" customWidth="1"/>
    <col min="3" max="3" width="6.85546875" style="149" bestFit="1" customWidth="1"/>
    <col min="4" max="4" width="11.85546875" style="150" bestFit="1" customWidth="1"/>
    <col min="5" max="5" width="6.5703125" style="150" bestFit="1" customWidth="1"/>
    <col min="6" max="6" width="12.28515625" style="150" bestFit="1" customWidth="1"/>
    <col min="7" max="7" width="6.5703125" style="151" bestFit="1" customWidth="1"/>
    <col min="8" max="8" width="7.5703125" style="152" bestFit="1" customWidth="1"/>
    <col min="9" max="9" width="5.7109375" style="151" bestFit="1" customWidth="1"/>
    <col min="10" max="10" width="6.28515625" style="151" bestFit="1" customWidth="1"/>
    <col min="11" max="11" width="5.7109375" style="151" customWidth="1"/>
    <col min="12" max="12" width="7" style="151" bestFit="1" customWidth="1"/>
    <col min="13" max="13" width="7" style="151" customWidth="1"/>
    <col min="14" max="14" width="5.140625" style="149" bestFit="1" customWidth="1"/>
    <col min="15" max="41" width="3.28515625" style="149" bestFit="1" customWidth="1"/>
    <col min="42" max="42" width="3.28515625" style="153" bestFit="1" customWidth="1"/>
    <col min="43" max="44" width="3.28515625" style="149" bestFit="1" customWidth="1"/>
    <col min="45" max="45" width="4.28515625" style="149" bestFit="1" customWidth="1"/>
    <col min="46" max="46" width="5.5703125" style="149" bestFit="1" customWidth="1"/>
    <col min="47" max="47" width="6.85546875" style="151" bestFit="1" customWidth="1"/>
    <col min="48" max="50" width="7.42578125" style="149" bestFit="1" customWidth="1"/>
    <col min="51" max="51" width="4.85546875" style="149" bestFit="1" customWidth="1"/>
    <col min="52" max="52" width="4.7109375" style="149" bestFit="1" customWidth="1"/>
    <col min="53" max="53" width="8.7109375" style="149" bestFit="1" customWidth="1"/>
    <col min="54" max="54" width="3.28515625" style="149" customWidth="1"/>
    <col min="55" max="55" width="9.140625" style="149" hidden="1" customWidth="1"/>
    <col min="56" max="1023" width="0" style="149" hidden="1" customWidth="1"/>
    <col min="1024" max="1026" width="0" style="178" hidden="1" customWidth="1"/>
    <col min="1027" max="16384" width="9.140625" style="178" hidden="1"/>
  </cols>
  <sheetData>
    <row r="1" spans="1:1026" ht="15.75" thickBot="1"/>
    <row r="2" spans="1:1026" ht="21.75" thickBot="1">
      <c r="B2" s="373" t="str">
        <f>Summary!R5&amp;" Veebha Material Consumption for the Month of "&amp; TEXT(Summary!R4," MMM YY")</f>
        <v>SOC Veebha Material Consumption for the Month of  Feb 26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6"/>
      <c r="AQ2" s="155"/>
      <c r="AR2" s="155"/>
      <c r="AS2" s="155"/>
      <c r="AT2" s="157"/>
      <c r="AU2" s="154"/>
      <c r="AV2" s="154"/>
    </row>
    <row r="3" spans="1:1026">
      <c r="B3" s="154"/>
      <c r="C3" s="154"/>
      <c r="D3" s="158"/>
      <c r="E3" s="158"/>
      <c r="F3" s="158"/>
      <c r="G3" s="158"/>
      <c r="H3" s="159"/>
      <c r="I3" s="160"/>
      <c r="J3" s="160"/>
      <c r="K3" s="160"/>
      <c r="L3" s="160"/>
      <c r="M3" s="160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61"/>
      <c r="AQ3" s="154"/>
      <c r="AR3" s="154"/>
      <c r="AS3" s="154"/>
      <c r="AT3" s="154"/>
      <c r="AU3" s="154"/>
      <c r="AV3" s="154"/>
    </row>
    <row r="4" spans="1:1026" ht="24.75">
      <c r="B4" s="162"/>
      <c r="C4" s="162"/>
      <c r="D4" s="163"/>
      <c r="E4" s="163"/>
      <c r="F4" s="163"/>
      <c r="G4" s="163"/>
      <c r="H4" s="164"/>
      <c r="I4" s="165"/>
      <c r="J4" s="165"/>
      <c r="K4" s="165"/>
      <c r="L4" s="165"/>
      <c r="M4" s="165"/>
      <c r="N4" s="166" t="s">
        <v>258</v>
      </c>
      <c r="O4" s="167" t="str">
        <f>TEXT(O5,"ddd")</f>
        <v>Sun</v>
      </c>
      <c r="P4" s="167" t="str">
        <f t="shared" ref="P4:AH4" si="0">TEXT(P5,"ddd")</f>
        <v>Mon</v>
      </c>
      <c r="Q4" s="167" t="str">
        <f t="shared" si="0"/>
        <v>Tue</v>
      </c>
      <c r="R4" s="167" t="str">
        <f t="shared" si="0"/>
        <v>Wed</v>
      </c>
      <c r="S4" s="167" t="str">
        <f t="shared" si="0"/>
        <v>Thu</v>
      </c>
      <c r="T4" s="167" t="str">
        <f t="shared" si="0"/>
        <v>Fri</v>
      </c>
      <c r="U4" s="167" t="str">
        <f t="shared" si="0"/>
        <v>Sat</v>
      </c>
      <c r="V4" s="167" t="str">
        <f t="shared" si="0"/>
        <v>Sun</v>
      </c>
      <c r="W4" s="167" t="str">
        <f t="shared" si="0"/>
        <v>Mon</v>
      </c>
      <c r="X4" s="167" t="str">
        <f t="shared" si="0"/>
        <v>Tue</v>
      </c>
      <c r="Y4" s="167" t="str">
        <f t="shared" si="0"/>
        <v>Wed</v>
      </c>
      <c r="Z4" s="167" t="str">
        <f t="shared" si="0"/>
        <v>Thu</v>
      </c>
      <c r="AA4" s="167" t="str">
        <f t="shared" si="0"/>
        <v>Fri</v>
      </c>
      <c r="AB4" s="167" t="str">
        <f t="shared" si="0"/>
        <v>Sat</v>
      </c>
      <c r="AC4" s="167" t="str">
        <f t="shared" si="0"/>
        <v>Sun</v>
      </c>
      <c r="AD4" s="167" t="str">
        <f t="shared" si="0"/>
        <v>Mon</v>
      </c>
      <c r="AE4" s="167" t="str">
        <f t="shared" si="0"/>
        <v>Tue</v>
      </c>
      <c r="AF4" s="167" t="str">
        <f t="shared" si="0"/>
        <v>Wed</v>
      </c>
      <c r="AG4" s="167" t="str">
        <f t="shared" si="0"/>
        <v>Thu</v>
      </c>
      <c r="AH4" s="167" t="str">
        <f t="shared" si="0"/>
        <v>Fri</v>
      </c>
      <c r="AI4" s="167" t="str">
        <f>TEXT(AI5,"ddd")</f>
        <v>Sat</v>
      </c>
      <c r="AJ4" s="167" t="str">
        <f t="shared" ref="AJ4:AS4" si="1">TEXT(AJ5,"ddd")</f>
        <v>Sun</v>
      </c>
      <c r="AK4" s="167" t="str">
        <f t="shared" si="1"/>
        <v>Mon</v>
      </c>
      <c r="AL4" s="167" t="str">
        <f t="shared" si="1"/>
        <v>Tue</v>
      </c>
      <c r="AM4" s="167" t="str">
        <f t="shared" si="1"/>
        <v>Wed</v>
      </c>
      <c r="AN4" s="167" t="str">
        <f t="shared" si="1"/>
        <v>Thu</v>
      </c>
      <c r="AO4" s="167" t="str">
        <f t="shared" si="1"/>
        <v>Fri</v>
      </c>
      <c r="AP4" s="167" t="str">
        <f t="shared" si="1"/>
        <v>Sat</v>
      </c>
      <c r="AQ4" s="167" t="str">
        <f t="shared" si="1"/>
        <v>Sun</v>
      </c>
      <c r="AR4" s="167" t="str">
        <f t="shared" si="1"/>
        <v>Mon</v>
      </c>
      <c r="AS4" s="167" t="str">
        <f t="shared" si="1"/>
        <v>Tue</v>
      </c>
      <c r="AT4" s="166" t="s">
        <v>258</v>
      </c>
      <c r="AU4" s="166" t="s">
        <v>258</v>
      </c>
      <c r="AV4" s="166" t="s">
        <v>258</v>
      </c>
      <c r="AW4" s="166" t="s">
        <v>258</v>
      </c>
      <c r="AX4" s="166" t="s">
        <v>258</v>
      </c>
      <c r="BA4" s="166" t="s">
        <v>258</v>
      </c>
    </row>
    <row r="5" spans="1:1026" ht="38.25">
      <c r="B5" s="168" t="s">
        <v>6</v>
      </c>
      <c r="C5" s="168" t="s">
        <v>224</v>
      </c>
      <c r="D5" s="169" t="s">
        <v>7</v>
      </c>
      <c r="E5" s="169" t="s">
        <v>225</v>
      </c>
      <c r="F5" s="169" t="s">
        <v>8</v>
      </c>
      <c r="G5" s="169" t="s">
        <v>1</v>
      </c>
      <c r="H5" s="170" t="s">
        <v>51</v>
      </c>
      <c r="I5" s="89" t="s">
        <v>54</v>
      </c>
      <c r="J5" s="171" t="s">
        <v>264</v>
      </c>
      <c r="K5" s="171" t="s">
        <v>265</v>
      </c>
      <c r="L5" s="171" t="s">
        <v>266</v>
      </c>
      <c r="M5" s="166" t="s">
        <v>63</v>
      </c>
      <c r="N5" s="92" t="s">
        <v>9</v>
      </c>
      <c r="O5" s="172">
        <f>Summary!R4</f>
        <v>46054</v>
      </c>
      <c r="P5" s="172">
        <f>O5+1</f>
        <v>46055</v>
      </c>
      <c r="Q5" s="172">
        <f t="shared" ref="Q5:AS5" si="2">P5+1</f>
        <v>46056</v>
      </c>
      <c r="R5" s="172">
        <f t="shared" si="2"/>
        <v>46057</v>
      </c>
      <c r="S5" s="172">
        <f t="shared" si="2"/>
        <v>46058</v>
      </c>
      <c r="T5" s="172">
        <f t="shared" si="2"/>
        <v>46059</v>
      </c>
      <c r="U5" s="172">
        <f t="shared" si="2"/>
        <v>46060</v>
      </c>
      <c r="V5" s="172">
        <f t="shared" si="2"/>
        <v>46061</v>
      </c>
      <c r="W5" s="172">
        <f t="shared" si="2"/>
        <v>46062</v>
      </c>
      <c r="X5" s="172">
        <f t="shared" si="2"/>
        <v>46063</v>
      </c>
      <c r="Y5" s="172">
        <f t="shared" si="2"/>
        <v>46064</v>
      </c>
      <c r="Z5" s="172">
        <f t="shared" si="2"/>
        <v>46065</v>
      </c>
      <c r="AA5" s="172">
        <f t="shared" si="2"/>
        <v>46066</v>
      </c>
      <c r="AB5" s="172">
        <f t="shared" si="2"/>
        <v>46067</v>
      </c>
      <c r="AC5" s="172">
        <f t="shared" si="2"/>
        <v>46068</v>
      </c>
      <c r="AD5" s="172">
        <f t="shared" si="2"/>
        <v>46069</v>
      </c>
      <c r="AE5" s="172">
        <f t="shared" si="2"/>
        <v>46070</v>
      </c>
      <c r="AF5" s="172">
        <f t="shared" si="2"/>
        <v>46071</v>
      </c>
      <c r="AG5" s="172">
        <f t="shared" si="2"/>
        <v>46072</v>
      </c>
      <c r="AH5" s="172">
        <f t="shared" si="2"/>
        <v>46073</v>
      </c>
      <c r="AI5" s="172">
        <f t="shared" si="2"/>
        <v>46074</v>
      </c>
      <c r="AJ5" s="172">
        <f t="shared" si="2"/>
        <v>46075</v>
      </c>
      <c r="AK5" s="172">
        <f t="shared" si="2"/>
        <v>46076</v>
      </c>
      <c r="AL5" s="172">
        <f t="shared" si="2"/>
        <v>46077</v>
      </c>
      <c r="AM5" s="172">
        <f t="shared" si="2"/>
        <v>46078</v>
      </c>
      <c r="AN5" s="172">
        <f t="shared" si="2"/>
        <v>46079</v>
      </c>
      <c r="AO5" s="172">
        <f t="shared" si="2"/>
        <v>46080</v>
      </c>
      <c r="AP5" s="172">
        <f t="shared" si="2"/>
        <v>46081</v>
      </c>
      <c r="AQ5" s="172">
        <f t="shared" si="2"/>
        <v>46082</v>
      </c>
      <c r="AR5" s="172">
        <f t="shared" si="2"/>
        <v>46083</v>
      </c>
      <c r="AS5" s="172">
        <f t="shared" si="2"/>
        <v>46084</v>
      </c>
      <c r="AT5" s="93" t="s">
        <v>249</v>
      </c>
      <c r="AU5" s="93" t="s">
        <v>250</v>
      </c>
      <c r="AV5" s="93" t="s">
        <v>251</v>
      </c>
      <c r="AW5" s="93" t="s">
        <v>227</v>
      </c>
      <c r="AX5" s="93" t="s">
        <v>226</v>
      </c>
      <c r="AY5" s="93" t="s">
        <v>175</v>
      </c>
      <c r="AZ5" s="93" t="s">
        <v>176</v>
      </c>
      <c r="BA5" s="93" t="s">
        <v>267</v>
      </c>
    </row>
    <row r="6" spans="1:1026">
      <c r="B6" s="173">
        <v>1</v>
      </c>
      <c r="C6" s="267" t="s">
        <v>280</v>
      </c>
      <c r="D6" s="269" t="s">
        <v>279</v>
      </c>
      <c r="E6" s="269"/>
      <c r="F6" s="282" t="s">
        <v>281</v>
      </c>
      <c r="G6" s="271">
        <v>160</v>
      </c>
      <c r="H6" s="272">
        <v>82</v>
      </c>
      <c r="I6" s="272"/>
      <c r="J6" s="272"/>
      <c r="K6" s="272"/>
      <c r="L6" s="272"/>
      <c r="M6" s="272"/>
      <c r="N6" s="182">
        <f>SUM(H6:L6)</f>
        <v>82</v>
      </c>
      <c r="O6" s="276"/>
      <c r="P6" s="276"/>
      <c r="Q6" s="276"/>
      <c r="R6" s="276"/>
      <c r="S6" s="276"/>
      <c r="T6" s="276"/>
      <c r="U6" s="276"/>
      <c r="V6" s="276"/>
      <c r="W6" s="276"/>
      <c r="X6" s="276"/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7"/>
      <c r="AT6" s="183">
        <f t="shared" ref="AT6:AT7" si="3">SUM(O6:AS6)</f>
        <v>0</v>
      </c>
      <c r="AU6" s="184">
        <f>N6-AT6</f>
        <v>82</v>
      </c>
      <c r="AV6" s="185">
        <f>AT6*G6</f>
        <v>0</v>
      </c>
      <c r="AW6" s="186">
        <f>AU6*G6</f>
        <v>13120</v>
      </c>
      <c r="AX6" s="186">
        <f>I6*G6</f>
        <v>0</v>
      </c>
      <c r="AY6" s="174"/>
      <c r="AZ6" s="174"/>
      <c r="BA6" s="186">
        <f>AX6*SUM(AY6:AZ6)%+AX6</f>
        <v>0</v>
      </c>
    </row>
    <row r="7" spans="1:1026">
      <c r="B7" s="173">
        <v>2</v>
      </c>
      <c r="C7" s="267" t="s">
        <v>280</v>
      </c>
      <c r="D7" s="280" t="s">
        <v>5</v>
      </c>
      <c r="E7" s="273"/>
      <c r="F7" s="282" t="s">
        <v>281</v>
      </c>
      <c r="G7" s="271">
        <v>160</v>
      </c>
      <c r="H7" s="274">
        <v>82</v>
      </c>
      <c r="I7" s="272"/>
      <c r="J7" s="272"/>
      <c r="K7" s="272"/>
      <c r="L7" s="272"/>
      <c r="M7" s="272"/>
      <c r="N7" s="182">
        <f>SUM(H7:L7)</f>
        <v>82</v>
      </c>
      <c r="O7" s="276"/>
      <c r="P7" s="276"/>
      <c r="Q7" s="276"/>
      <c r="R7" s="276"/>
      <c r="S7" s="276"/>
      <c r="T7" s="276"/>
      <c r="U7" s="276"/>
      <c r="V7" s="276"/>
      <c r="W7" s="276"/>
      <c r="X7" s="276">
        <v>5</v>
      </c>
      <c r="Y7" s="276"/>
      <c r="Z7" s="276"/>
      <c r="AA7" s="276">
        <v>3</v>
      </c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7"/>
      <c r="AT7" s="183">
        <f t="shared" si="3"/>
        <v>8</v>
      </c>
      <c r="AU7" s="187">
        <f>N7-AT7</f>
        <v>74</v>
      </c>
      <c r="AV7" s="185">
        <f>AT7*G7</f>
        <v>1280</v>
      </c>
      <c r="AW7" s="186">
        <f>AU7*G7</f>
        <v>11840</v>
      </c>
      <c r="AX7" s="186">
        <f>I7*G7</f>
        <v>0</v>
      </c>
      <c r="AY7" s="174"/>
      <c r="AZ7" s="174"/>
      <c r="BA7" s="186">
        <f>AX7*SUM(AY7:AZ7)%+AX7</f>
        <v>0</v>
      </c>
    </row>
    <row r="8" spans="1:1026">
      <c r="B8" s="173"/>
      <c r="C8" s="267"/>
      <c r="D8" s="273"/>
      <c r="E8" s="273"/>
      <c r="F8" s="270"/>
      <c r="G8" s="271"/>
      <c r="H8" s="274"/>
      <c r="I8" s="272"/>
      <c r="J8" s="272"/>
      <c r="K8" s="272"/>
      <c r="L8" s="272"/>
      <c r="M8" s="272"/>
      <c r="N8" s="182"/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7"/>
      <c r="AT8" s="183">
        <f t="shared" ref="AT8:AT9" si="4">SUM(O8:AS8)</f>
        <v>0</v>
      </c>
      <c r="AU8" s="187">
        <f t="shared" ref="AU8:AU9" si="5">N8-AT8</f>
        <v>0</v>
      </c>
      <c r="AV8" s="185">
        <f t="shared" ref="AV8:AV9" si="6">AT8*G8</f>
        <v>0</v>
      </c>
      <c r="AW8" s="186">
        <f t="shared" ref="AW8:AW9" si="7">AU8*G8</f>
        <v>0</v>
      </c>
      <c r="AX8" s="186">
        <f t="shared" ref="AX8:AX9" si="8">I8*G8</f>
        <v>0</v>
      </c>
      <c r="AY8" s="174"/>
      <c r="AZ8" s="174"/>
      <c r="BA8" s="186">
        <f t="shared" ref="BA8:BA9" si="9">AX8*SUM(AY8:AZ8)%+AX8</f>
        <v>0</v>
      </c>
    </row>
    <row r="9" spans="1:1026">
      <c r="B9" s="173"/>
      <c r="C9" s="267"/>
      <c r="D9" s="273"/>
      <c r="E9" s="273"/>
      <c r="F9" s="270"/>
      <c r="G9" s="271"/>
      <c r="H9" s="274"/>
      <c r="I9" s="272"/>
      <c r="J9" s="272"/>
      <c r="K9" s="272"/>
      <c r="L9" s="272"/>
      <c r="M9" s="272"/>
      <c r="N9" s="182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7"/>
      <c r="AT9" s="183">
        <f t="shared" si="4"/>
        <v>0</v>
      </c>
      <c r="AU9" s="187">
        <f t="shared" si="5"/>
        <v>0</v>
      </c>
      <c r="AV9" s="185">
        <f t="shared" si="6"/>
        <v>0</v>
      </c>
      <c r="AW9" s="186">
        <f t="shared" si="7"/>
        <v>0</v>
      </c>
      <c r="AX9" s="186">
        <f t="shared" si="8"/>
        <v>0</v>
      </c>
      <c r="AY9" s="174"/>
      <c r="AZ9" s="174"/>
      <c r="BA9" s="186">
        <f t="shared" si="9"/>
        <v>0</v>
      </c>
    </row>
    <row r="10" spans="1:1026" s="149" customFormat="1" ht="12.75">
      <c r="B10" s="173"/>
      <c r="C10" s="175"/>
      <c r="D10" s="352" t="s">
        <v>52</v>
      </c>
      <c r="E10" s="353"/>
      <c r="F10" s="353"/>
      <c r="G10" s="354"/>
      <c r="H10" s="176">
        <f>SUM(H6:H9)</f>
        <v>164</v>
      </c>
      <c r="I10" s="176">
        <f>SUM(I6:I9)</f>
        <v>0</v>
      </c>
      <c r="J10" s="176"/>
      <c r="K10" s="176"/>
      <c r="L10" s="176"/>
      <c r="M10" s="176"/>
      <c r="N10" s="176">
        <f t="shared" ref="N10:AR10" si="10">SUM(N6:N9)</f>
        <v>164</v>
      </c>
      <c r="O10" s="176">
        <f t="shared" si="10"/>
        <v>0</v>
      </c>
      <c r="P10" s="176">
        <f t="shared" si="10"/>
        <v>0</v>
      </c>
      <c r="Q10" s="176">
        <f t="shared" si="10"/>
        <v>0</v>
      </c>
      <c r="R10" s="176">
        <f t="shared" si="10"/>
        <v>0</v>
      </c>
      <c r="S10" s="176">
        <f t="shared" si="10"/>
        <v>0</v>
      </c>
      <c r="T10" s="176">
        <f t="shared" si="10"/>
        <v>0</v>
      </c>
      <c r="U10" s="176">
        <f t="shared" si="10"/>
        <v>0</v>
      </c>
      <c r="V10" s="176">
        <f t="shared" si="10"/>
        <v>0</v>
      </c>
      <c r="W10" s="176">
        <f t="shared" si="10"/>
        <v>0</v>
      </c>
      <c r="X10" s="176">
        <f t="shared" si="10"/>
        <v>5</v>
      </c>
      <c r="Y10" s="176">
        <f t="shared" si="10"/>
        <v>0</v>
      </c>
      <c r="Z10" s="176">
        <f t="shared" si="10"/>
        <v>0</v>
      </c>
      <c r="AA10" s="176">
        <f t="shared" si="10"/>
        <v>3</v>
      </c>
      <c r="AB10" s="176">
        <f t="shared" si="10"/>
        <v>0</v>
      </c>
      <c r="AC10" s="176">
        <f t="shared" si="10"/>
        <v>0</v>
      </c>
      <c r="AD10" s="176">
        <f t="shared" si="10"/>
        <v>0</v>
      </c>
      <c r="AE10" s="176">
        <f t="shared" si="10"/>
        <v>0</v>
      </c>
      <c r="AF10" s="176">
        <f t="shared" si="10"/>
        <v>0</v>
      </c>
      <c r="AG10" s="176">
        <f t="shared" si="10"/>
        <v>0</v>
      </c>
      <c r="AH10" s="176">
        <f t="shared" si="10"/>
        <v>0</v>
      </c>
      <c r="AI10" s="176">
        <f t="shared" si="10"/>
        <v>0</v>
      </c>
      <c r="AJ10" s="176">
        <f t="shared" si="10"/>
        <v>0</v>
      </c>
      <c r="AK10" s="176">
        <f t="shared" si="10"/>
        <v>0</v>
      </c>
      <c r="AL10" s="176">
        <f t="shared" si="10"/>
        <v>0</v>
      </c>
      <c r="AM10" s="176">
        <f t="shared" si="10"/>
        <v>0</v>
      </c>
      <c r="AN10" s="176">
        <f t="shared" si="10"/>
        <v>0</v>
      </c>
      <c r="AO10" s="176">
        <f t="shared" si="10"/>
        <v>0</v>
      </c>
      <c r="AP10" s="176">
        <f t="shared" si="10"/>
        <v>0</v>
      </c>
      <c r="AQ10" s="176">
        <f t="shared" si="10"/>
        <v>0</v>
      </c>
      <c r="AR10" s="176">
        <f t="shared" si="10"/>
        <v>0</v>
      </c>
      <c r="AS10" s="177"/>
      <c r="AT10" s="176">
        <f t="shared" ref="AT10:BA10" si="11">SUM(AT6:AT9)</f>
        <v>8</v>
      </c>
      <c r="AU10" s="176">
        <f t="shared" si="11"/>
        <v>156</v>
      </c>
      <c r="AV10" s="176">
        <f t="shared" si="11"/>
        <v>1280</v>
      </c>
      <c r="AW10" s="176">
        <f t="shared" si="11"/>
        <v>24960</v>
      </c>
      <c r="AX10" s="176">
        <f t="shared" si="11"/>
        <v>0</v>
      </c>
      <c r="AY10" s="176">
        <f t="shared" si="11"/>
        <v>0</v>
      </c>
      <c r="AZ10" s="176">
        <f t="shared" si="11"/>
        <v>0</v>
      </c>
      <c r="BA10" s="176">
        <f t="shared" si="11"/>
        <v>0</v>
      </c>
    </row>
    <row r="11" spans="1:1026" s="149" customFormat="1">
      <c r="A11" s="178"/>
      <c r="D11" s="150"/>
      <c r="E11" s="150"/>
      <c r="F11" s="150"/>
      <c r="G11" s="151"/>
      <c r="H11" s="152"/>
      <c r="I11" s="151"/>
      <c r="J11" s="151"/>
      <c r="K11" s="151"/>
      <c r="L11" s="151"/>
      <c r="M11" s="151"/>
      <c r="AP11" s="153"/>
      <c r="AU11" s="151"/>
      <c r="AMJ11" s="178"/>
      <c r="AMK11" s="178"/>
      <c r="AML11" s="178"/>
    </row>
    <row r="12" spans="1:1026" s="149" customFormat="1">
      <c r="A12" s="178"/>
      <c r="D12" s="150"/>
      <c r="E12" s="150"/>
      <c r="F12" s="150"/>
      <c r="G12" s="151"/>
      <c r="H12" s="152"/>
      <c r="I12" s="151"/>
      <c r="J12" s="151"/>
      <c r="K12" s="151"/>
      <c r="L12" s="151"/>
      <c r="M12" s="151"/>
      <c r="AP12" s="153"/>
      <c r="AU12" s="151"/>
      <c r="AMJ12" s="178"/>
      <c r="AMK12" s="178"/>
      <c r="AML12" s="178"/>
    </row>
    <row r="13" spans="1:1026" s="149" customFormat="1">
      <c r="A13" s="178"/>
      <c r="D13" s="150"/>
      <c r="E13" s="150"/>
      <c r="F13" s="150"/>
      <c r="G13" s="151"/>
      <c r="H13" s="152"/>
      <c r="I13" s="151"/>
      <c r="J13" s="151"/>
      <c r="K13" s="151"/>
      <c r="L13" s="151"/>
      <c r="M13" s="151"/>
      <c r="AP13" s="153"/>
      <c r="AU13" s="151"/>
      <c r="AMJ13" s="178"/>
      <c r="AMK13" s="178"/>
      <c r="AML13" s="178"/>
    </row>
    <row r="14" spans="1:1026" s="149" customFormat="1">
      <c r="A14" s="178"/>
      <c r="C14" s="375"/>
      <c r="D14" s="375"/>
      <c r="E14" s="375"/>
      <c r="F14" s="151"/>
      <c r="G14" s="151"/>
      <c r="H14" s="151"/>
      <c r="I14" s="151"/>
      <c r="L14" s="151"/>
      <c r="M14" s="151"/>
      <c r="AP14" s="153"/>
      <c r="AU14" s="151"/>
      <c r="AMJ14" s="178"/>
      <c r="AMK14" s="178"/>
      <c r="AML14" s="178"/>
    </row>
    <row r="15" spans="1:1026">
      <c r="F15" s="152"/>
      <c r="G15" s="149"/>
      <c r="H15" s="150"/>
      <c r="I15" s="150"/>
    </row>
  </sheetData>
  <sheetProtection password="CF7A" sheet="1" insertRows="0"/>
  <customSheetViews>
    <customSheetView guid="{5E113600-004F-4409-A088-DFECFF9BC96A}" showGridLines="0" hiddenColumns="1">
      <pane xSplit="14" ySplit="5" topLeftCell="O6" activePane="bottomRight" state="frozen"/>
      <selection pane="bottomRight" activeCell="AR7" sqref="AR7"/>
      <pageMargins left="0.7" right="0.7" top="0.75" bottom="0.75" header="0.51180555555555496" footer="0.51180555555555496"/>
      <pageSetup paperSize="9" firstPageNumber="0" orientation="portrait" horizontalDpi="300" verticalDpi="300" r:id="rId1"/>
    </customSheetView>
    <customSheetView guid="{1F97382E-80B0-473D-874E-BD5E60D01A4B}" showGridLines="0" hiddenColumns="1">
      <pane xSplit="14" ySplit="5" topLeftCell="O6" activePane="bottomRight" state="frozen"/>
      <selection pane="bottomRight" activeCell="AR7" sqref="AR7"/>
      <pageMargins left="0.7" right="0.7" top="0.75" bottom="0.75" header="0.51180555555555496" footer="0.51180555555555496"/>
      <pageSetup paperSize="9" firstPageNumber="0" orientation="portrait" horizontalDpi="300" verticalDpi="300" r:id="rId2"/>
    </customSheetView>
    <customSheetView guid="{7663FDEA-AE2F-416B-8123-1D493B6639C0}" showGridLines="0" hiddenColumns="1">
      <pane xSplit="14" ySplit="5" topLeftCell="O6" activePane="bottomRight" state="frozen"/>
      <selection pane="bottomRight" activeCell="AR7" sqref="AR7"/>
      <pageMargins left="0.7" right="0.7" top="0.75" bottom="0.75" header="0.51180555555555496" footer="0.51180555555555496"/>
      <pageSetup paperSize="9" firstPageNumber="0" orientation="portrait" horizontalDpi="300" verticalDpi="300" r:id="rId3"/>
    </customSheetView>
    <customSheetView guid="{C287C8AD-6E2E-4D5F-930B-C18EF9030790}" showGridLines="0" hiddenColumns="1">
      <pane xSplit="14" ySplit="5" topLeftCell="O6" activePane="bottomRight" state="frozen"/>
      <selection pane="bottomRight" activeCell="AR7" sqref="AR7"/>
      <pageMargins left="0.7" right="0.7" top="0.75" bottom="0.75" header="0.51180555555555496" footer="0.51180555555555496"/>
      <pageSetup paperSize="9" firstPageNumber="0" orientation="portrait" horizontalDpi="300" verticalDpi="300" r:id="rId4"/>
    </customSheetView>
  </customSheetViews>
  <mergeCells count="3">
    <mergeCell ref="B2:N2"/>
    <mergeCell ref="D10:G10"/>
    <mergeCell ref="C14:E14"/>
  </mergeCells>
  <conditionalFormatting sqref="B4:M4 O4:AS4">
    <cfRule type="containsText" dxfId="1300" priority="11" operator="containsText" text="sat"/>
    <cfRule type="containsText" dxfId="1299" priority="12" operator="containsText" text="sun"/>
  </conditionalFormatting>
  <conditionalFormatting sqref="D6:E6">
    <cfRule type="duplicateValues" priority="2"/>
    <cfRule type="duplicateValues" priority="3"/>
    <cfRule type="duplicateValues" priority="4"/>
    <cfRule type="duplicateValues" priority="5"/>
  </conditionalFormatting>
  <conditionalFormatting sqref="D7:E9">
    <cfRule type="duplicateValues" priority="1248"/>
    <cfRule type="duplicateValues" priority="1249"/>
    <cfRule type="duplicateValues" priority="1250"/>
    <cfRule type="duplicateValues" priority="1251"/>
  </conditionalFormatting>
  <conditionalFormatting sqref="N1:N1048576 AT1:AX1048576 BA1:BA1048576">
    <cfRule type="cellIs" dxfId="1298" priority="6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ML17"/>
  <sheetViews>
    <sheetView showGridLines="0" zoomScaleNormal="100" workbookViewId="0">
      <pane xSplit="14" ySplit="5" topLeftCell="O6" activePane="bottomRight" state="frozen"/>
      <selection pane="topRight" activeCell="J1" sqref="J1"/>
      <selection pane="bottomLeft" activeCell="A5" sqref="A5"/>
      <selection pane="bottomRight" activeCell="AE7" sqref="AE7"/>
    </sheetView>
  </sheetViews>
  <sheetFormatPr defaultColWidth="0" defaultRowHeight="15"/>
  <cols>
    <col min="1" max="1" width="1.85546875" style="178" customWidth="1"/>
    <col min="2" max="2" width="6.140625" style="149" bestFit="1" customWidth="1"/>
    <col min="3" max="3" width="6.85546875" style="149" bestFit="1" customWidth="1"/>
    <col min="4" max="4" width="18.7109375" style="150" bestFit="1" customWidth="1"/>
    <col min="5" max="5" width="5.5703125" style="150" bestFit="1" customWidth="1"/>
    <col min="6" max="6" width="5" style="150" bestFit="1" customWidth="1"/>
    <col min="7" max="7" width="8.140625" style="151" bestFit="1" customWidth="1"/>
    <col min="8" max="8" width="7.5703125" style="152" bestFit="1" customWidth="1"/>
    <col min="9" max="9" width="5.7109375" style="151" bestFit="1" customWidth="1"/>
    <col min="10" max="10" width="6.28515625" style="151" bestFit="1" customWidth="1"/>
    <col min="11" max="11" width="5.7109375" style="151" customWidth="1"/>
    <col min="12" max="12" width="7" style="151" bestFit="1" customWidth="1"/>
    <col min="13" max="13" width="7" style="151" customWidth="1"/>
    <col min="14" max="14" width="5.85546875" style="149" bestFit="1" customWidth="1"/>
    <col min="15" max="18" width="3.28515625" style="149" bestFit="1" customWidth="1"/>
    <col min="19" max="19" width="4.42578125" style="149" bestFit="1" customWidth="1"/>
    <col min="20" max="20" width="3.85546875" style="149" bestFit="1" customWidth="1"/>
    <col min="21" max="21" width="3.28515625" style="149" bestFit="1" customWidth="1"/>
    <col min="22" max="23" width="4.42578125" style="149" bestFit="1" customWidth="1"/>
    <col min="24" max="34" width="3.28515625" style="149" bestFit="1" customWidth="1"/>
    <col min="35" max="35" width="3.85546875" style="149" bestFit="1" customWidth="1"/>
    <col min="36" max="38" width="3.28515625" style="149" bestFit="1" customWidth="1"/>
    <col min="39" max="39" width="4.42578125" style="149" bestFit="1" customWidth="1"/>
    <col min="40" max="40" width="3.85546875" style="149" bestFit="1" customWidth="1"/>
    <col min="41" max="41" width="3.28515625" style="149" bestFit="1" customWidth="1"/>
    <col min="42" max="42" width="3.28515625" style="153" bestFit="1" customWidth="1"/>
    <col min="43" max="44" width="3.28515625" style="149" bestFit="1" customWidth="1"/>
    <col min="45" max="45" width="4.28515625" style="149" bestFit="1" customWidth="1"/>
    <col min="46" max="46" width="5.5703125" style="149" bestFit="1" customWidth="1"/>
    <col min="47" max="47" width="6.42578125" style="151" bestFit="1" customWidth="1"/>
    <col min="48" max="50" width="7.42578125" style="149" bestFit="1" customWidth="1"/>
    <col min="51" max="51" width="4.85546875" style="149" bestFit="1" customWidth="1"/>
    <col min="52" max="52" width="4.7109375" style="149" bestFit="1" customWidth="1"/>
    <col min="53" max="53" width="8.140625" style="149" bestFit="1" customWidth="1"/>
    <col min="54" max="54" width="3.28515625" style="149" customWidth="1"/>
    <col min="55" max="55" width="9.140625" style="149" hidden="1" customWidth="1"/>
    <col min="56" max="1023" width="0" style="149" hidden="1" customWidth="1"/>
    <col min="1024" max="1026" width="0" style="178" hidden="1" customWidth="1"/>
    <col min="1027" max="16384" width="9.140625" style="178" hidden="1"/>
  </cols>
  <sheetData>
    <row r="1" spans="1:1026" ht="15.75" thickBot="1"/>
    <row r="2" spans="1:1026" ht="21.75" thickBot="1">
      <c r="B2" s="373" t="str">
        <f>Summary!R5&amp;" Sumant Material Consumption for the Month of "&amp; TEXT(Summary!R4," MMM YY")</f>
        <v>SOC Sumant Material Consumption for the Month of  Feb 26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6"/>
      <c r="AQ2" s="155"/>
      <c r="AR2" s="155"/>
      <c r="AS2" s="155"/>
      <c r="AT2" s="157"/>
      <c r="AU2" s="154"/>
      <c r="AV2" s="154"/>
    </row>
    <row r="3" spans="1:1026">
      <c r="B3" s="154"/>
      <c r="C3" s="154"/>
      <c r="D3" s="158"/>
      <c r="E3" s="158"/>
      <c r="F3" s="158"/>
      <c r="G3" s="158"/>
      <c r="H3" s="159"/>
      <c r="I3" s="160"/>
      <c r="J3" s="160"/>
      <c r="K3" s="160"/>
      <c r="L3" s="160"/>
      <c r="M3" s="160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61"/>
      <c r="AQ3" s="154"/>
      <c r="AR3" s="154"/>
      <c r="AS3" s="154"/>
      <c r="AT3" s="154"/>
      <c r="AU3" s="154"/>
      <c r="AV3" s="154"/>
    </row>
    <row r="4" spans="1:1026" ht="24.75">
      <c r="B4" s="162"/>
      <c r="C4" s="162"/>
      <c r="D4" s="163"/>
      <c r="E4" s="163"/>
      <c r="F4" s="163"/>
      <c r="G4" s="163"/>
      <c r="H4" s="164"/>
      <c r="I4" s="165"/>
      <c r="J4" s="165"/>
      <c r="K4" s="165"/>
      <c r="L4" s="165"/>
      <c r="M4" s="165"/>
      <c r="N4" s="166" t="s">
        <v>258</v>
      </c>
      <c r="O4" s="167" t="str">
        <f>TEXT(O5,"ddd")</f>
        <v>Sun</v>
      </c>
      <c r="P4" s="167" t="str">
        <f t="shared" ref="P4:AH4" si="0">TEXT(P5,"ddd")</f>
        <v>Mon</v>
      </c>
      <c r="Q4" s="167" t="str">
        <f t="shared" si="0"/>
        <v>Tue</v>
      </c>
      <c r="R4" s="167" t="str">
        <f t="shared" si="0"/>
        <v>Wed</v>
      </c>
      <c r="S4" s="167" t="str">
        <f t="shared" si="0"/>
        <v>Thu</v>
      </c>
      <c r="T4" s="167" t="str">
        <f t="shared" si="0"/>
        <v>Fri</v>
      </c>
      <c r="U4" s="167" t="str">
        <f t="shared" si="0"/>
        <v>Sat</v>
      </c>
      <c r="V4" s="167" t="str">
        <f t="shared" si="0"/>
        <v>Sun</v>
      </c>
      <c r="W4" s="167" t="str">
        <f t="shared" si="0"/>
        <v>Mon</v>
      </c>
      <c r="X4" s="167" t="str">
        <f t="shared" si="0"/>
        <v>Tue</v>
      </c>
      <c r="Y4" s="167" t="str">
        <f t="shared" si="0"/>
        <v>Wed</v>
      </c>
      <c r="Z4" s="167" t="str">
        <f t="shared" si="0"/>
        <v>Thu</v>
      </c>
      <c r="AA4" s="167" t="str">
        <f t="shared" si="0"/>
        <v>Fri</v>
      </c>
      <c r="AB4" s="167" t="str">
        <f t="shared" si="0"/>
        <v>Sat</v>
      </c>
      <c r="AC4" s="167" t="str">
        <f t="shared" si="0"/>
        <v>Sun</v>
      </c>
      <c r="AD4" s="167" t="str">
        <f t="shared" si="0"/>
        <v>Mon</v>
      </c>
      <c r="AE4" s="167" t="str">
        <f t="shared" si="0"/>
        <v>Tue</v>
      </c>
      <c r="AF4" s="167" t="str">
        <f t="shared" si="0"/>
        <v>Wed</v>
      </c>
      <c r="AG4" s="167" t="str">
        <f t="shared" si="0"/>
        <v>Thu</v>
      </c>
      <c r="AH4" s="167" t="str">
        <f t="shared" si="0"/>
        <v>Fri</v>
      </c>
      <c r="AI4" s="167" t="str">
        <f>TEXT(AI5,"ddd")</f>
        <v>Sat</v>
      </c>
      <c r="AJ4" s="167" t="str">
        <f t="shared" ref="AJ4:AS4" si="1">TEXT(AJ5,"ddd")</f>
        <v>Sun</v>
      </c>
      <c r="AK4" s="167" t="str">
        <f t="shared" si="1"/>
        <v>Mon</v>
      </c>
      <c r="AL4" s="167" t="str">
        <f t="shared" si="1"/>
        <v>Tue</v>
      </c>
      <c r="AM4" s="167" t="str">
        <f t="shared" si="1"/>
        <v>Wed</v>
      </c>
      <c r="AN4" s="167" t="str">
        <f t="shared" si="1"/>
        <v>Thu</v>
      </c>
      <c r="AO4" s="167" t="str">
        <f t="shared" si="1"/>
        <v>Fri</v>
      </c>
      <c r="AP4" s="167" t="str">
        <f t="shared" si="1"/>
        <v>Sat</v>
      </c>
      <c r="AQ4" s="167" t="str">
        <f t="shared" si="1"/>
        <v>Sun</v>
      </c>
      <c r="AR4" s="167" t="str">
        <f t="shared" si="1"/>
        <v>Mon</v>
      </c>
      <c r="AS4" s="167" t="str">
        <f t="shared" si="1"/>
        <v>Tue</v>
      </c>
      <c r="AT4" s="166" t="s">
        <v>258</v>
      </c>
      <c r="AU4" s="166" t="s">
        <v>258</v>
      </c>
      <c r="AV4" s="166" t="s">
        <v>258</v>
      </c>
      <c r="AW4" s="166" t="s">
        <v>258</v>
      </c>
      <c r="AX4" s="166" t="s">
        <v>258</v>
      </c>
      <c r="BA4" s="166" t="s">
        <v>258</v>
      </c>
    </row>
    <row r="5" spans="1:1026" ht="38.25">
      <c r="B5" s="168" t="s">
        <v>6</v>
      </c>
      <c r="C5" s="168" t="s">
        <v>224</v>
      </c>
      <c r="D5" s="169" t="s">
        <v>7</v>
      </c>
      <c r="E5" s="169" t="s">
        <v>225</v>
      </c>
      <c r="F5" s="169" t="s">
        <v>8</v>
      </c>
      <c r="G5" s="169" t="s">
        <v>1</v>
      </c>
      <c r="H5" s="170" t="s">
        <v>51</v>
      </c>
      <c r="I5" s="89" t="s">
        <v>54</v>
      </c>
      <c r="J5" s="171" t="s">
        <v>264</v>
      </c>
      <c r="K5" s="171" t="s">
        <v>265</v>
      </c>
      <c r="L5" s="171" t="s">
        <v>266</v>
      </c>
      <c r="M5" s="166" t="s">
        <v>63</v>
      </c>
      <c r="N5" s="92" t="s">
        <v>9</v>
      </c>
      <c r="O5" s="172">
        <f>Summary!R4</f>
        <v>46054</v>
      </c>
      <c r="P5" s="172">
        <f>O5+1</f>
        <v>46055</v>
      </c>
      <c r="Q5" s="172">
        <f t="shared" ref="Q5:AS5" si="2">P5+1</f>
        <v>46056</v>
      </c>
      <c r="R5" s="172">
        <f t="shared" si="2"/>
        <v>46057</v>
      </c>
      <c r="S5" s="172">
        <f t="shared" si="2"/>
        <v>46058</v>
      </c>
      <c r="T5" s="172">
        <f t="shared" si="2"/>
        <v>46059</v>
      </c>
      <c r="U5" s="172">
        <f t="shared" si="2"/>
        <v>46060</v>
      </c>
      <c r="V5" s="172">
        <f t="shared" si="2"/>
        <v>46061</v>
      </c>
      <c r="W5" s="172">
        <f t="shared" si="2"/>
        <v>46062</v>
      </c>
      <c r="X5" s="172">
        <f t="shared" si="2"/>
        <v>46063</v>
      </c>
      <c r="Y5" s="172">
        <f t="shared" si="2"/>
        <v>46064</v>
      </c>
      <c r="Z5" s="172">
        <f t="shared" si="2"/>
        <v>46065</v>
      </c>
      <c r="AA5" s="172">
        <f t="shared" si="2"/>
        <v>46066</v>
      </c>
      <c r="AB5" s="172">
        <f t="shared" si="2"/>
        <v>46067</v>
      </c>
      <c r="AC5" s="172">
        <f t="shared" si="2"/>
        <v>46068</v>
      </c>
      <c r="AD5" s="172">
        <f t="shared" si="2"/>
        <v>46069</v>
      </c>
      <c r="AE5" s="172">
        <f t="shared" si="2"/>
        <v>46070</v>
      </c>
      <c r="AF5" s="172">
        <f t="shared" si="2"/>
        <v>46071</v>
      </c>
      <c r="AG5" s="172">
        <f t="shared" si="2"/>
        <v>46072</v>
      </c>
      <c r="AH5" s="172">
        <f t="shared" si="2"/>
        <v>46073</v>
      </c>
      <c r="AI5" s="172">
        <f t="shared" si="2"/>
        <v>46074</v>
      </c>
      <c r="AJ5" s="172">
        <f t="shared" si="2"/>
        <v>46075</v>
      </c>
      <c r="AK5" s="172">
        <f t="shared" si="2"/>
        <v>46076</v>
      </c>
      <c r="AL5" s="172">
        <f t="shared" si="2"/>
        <v>46077</v>
      </c>
      <c r="AM5" s="172">
        <f t="shared" si="2"/>
        <v>46078</v>
      </c>
      <c r="AN5" s="172">
        <f t="shared" si="2"/>
        <v>46079</v>
      </c>
      <c r="AO5" s="172">
        <f t="shared" si="2"/>
        <v>46080</v>
      </c>
      <c r="AP5" s="172">
        <f t="shared" si="2"/>
        <v>46081</v>
      </c>
      <c r="AQ5" s="172">
        <f t="shared" si="2"/>
        <v>46082</v>
      </c>
      <c r="AR5" s="172">
        <f t="shared" si="2"/>
        <v>46083</v>
      </c>
      <c r="AS5" s="172">
        <f t="shared" si="2"/>
        <v>46084</v>
      </c>
      <c r="AT5" s="93" t="s">
        <v>249</v>
      </c>
      <c r="AU5" s="93" t="s">
        <v>250</v>
      </c>
      <c r="AV5" s="93" t="s">
        <v>251</v>
      </c>
      <c r="AW5" s="93" t="s">
        <v>227</v>
      </c>
      <c r="AX5" s="93" t="s">
        <v>226</v>
      </c>
      <c r="AY5" s="93" t="s">
        <v>175</v>
      </c>
      <c r="AZ5" s="93" t="s">
        <v>176</v>
      </c>
      <c r="BA5" s="93" t="s">
        <v>267</v>
      </c>
    </row>
    <row r="6" spans="1:1026">
      <c r="B6" s="173">
        <v>1</v>
      </c>
      <c r="C6" s="267"/>
      <c r="D6" s="269" t="s">
        <v>55</v>
      </c>
      <c r="E6" s="269"/>
      <c r="F6" s="282" t="s">
        <v>56</v>
      </c>
      <c r="G6" s="271">
        <v>1350</v>
      </c>
      <c r="H6" s="272">
        <v>3</v>
      </c>
      <c r="I6" s="272">
        <v>6</v>
      </c>
      <c r="J6" s="272"/>
      <c r="K6" s="272"/>
      <c r="L6" s="272"/>
      <c r="M6" s="272"/>
      <c r="N6" s="182">
        <f>SUM(H6:L6)</f>
        <v>9</v>
      </c>
      <c r="O6" s="276"/>
      <c r="P6" s="276"/>
      <c r="Q6" s="276"/>
      <c r="R6" s="276">
        <v>1</v>
      </c>
      <c r="S6" s="276"/>
      <c r="T6" s="276"/>
      <c r="U6" s="276"/>
      <c r="V6" s="276"/>
      <c r="W6" s="276"/>
      <c r="X6" s="276">
        <v>1</v>
      </c>
      <c r="Y6" s="276"/>
      <c r="Z6" s="276"/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183">
        <f t="shared" ref="AT6:AT7" si="3">SUM(O6:AS6)</f>
        <v>2</v>
      </c>
      <c r="AU6" s="184">
        <f>N6-AT6</f>
        <v>7</v>
      </c>
      <c r="AV6" s="185">
        <f>AT6*G6</f>
        <v>2700</v>
      </c>
      <c r="AW6" s="186">
        <f>AU6*G6</f>
        <v>9450</v>
      </c>
      <c r="AX6" s="186">
        <f>I6*G6</f>
        <v>8100</v>
      </c>
      <c r="AY6" s="174"/>
      <c r="AZ6" s="174"/>
      <c r="BA6" s="186">
        <f>AX6*SUM(AY6:AZ6)%+AX6</f>
        <v>8100</v>
      </c>
    </row>
    <row r="7" spans="1:1026">
      <c r="B7" s="173">
        <v>2</v>
      </c>
      <c r="C7" s="267"/>
      <c r="D7" s="280" t="s">
        <v>60</v>
      </c>
      <c r="E7" s="273"/>
      <c r="F7" s="282" t="s">
        <v>61</v>
      </c>
      <c r="G7" s="271">
        <v>69.52</v>
      </c>
      <c r="H7" s="274">
        <v>78</v>
      </c>
      <c r="I7" s="272">
        <v>48</v>
      </c>
      <c r="J7" s="272"/>
      <c r="K7" s="272"/>
      <c r="L7" s="272"/>
      <c r="M7" s="272"/>
      <c r="N7" s="182">
        <f t="shared" ref="N7:N11" si="4">SUM(H7:L7)</f>
        <v>126</v>
      </c>
      <c r="O7" s="276"/>
      <c r="P7" s="276">
        <v>1</v>
      </c>
      <c r="Q7" s="276">
        <v>1</v>
      </c>
      <c r="R7" s="276">
        <v>13</v>
      </c>
      <c r="S7" s="276">
        <v>1</v>
      </c>
      <c r="T7" s="276">
        <v>1</v>
      </c>
      <c r="U7" s="276"/>
      <c r="V7" s="276"/>
      <c r="W7" s="276">
        <v>1</v>
      </c>
      <c r="X7" s="276">
        <v>1</v>
      </c>
      <c r="Y7" s="276">
        <v>1</v>
      </c>
      <c r="Z7" s="276">
        <v>1</v>
      </c>
      <c r="AA7" s="276">
        <v>1</v>
      </c>
      <c r="AB7" s="276"/>
      <c r="AC7" s="276"/>
      <c r="AD7" s="276">
        <v>1</v>
      </c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183">
        <f t="shared" si="3"/>
        <v>23</v>
      </c>
      <c r="AU7" s="187">
        <f>N7-AT7</f>
        <v>103</v>
      </c>
      <c r="AV7" s="185">
        <f>AT7*G7</f>
        <v>1598.9599999999998</v>
      </c>
      <c r="AW7" s="186">
        <f>AU7*G7</f>
        <v>7160.5599999999995</v>
      </c>
      <c r="AX7" s="186">
        <f>I7*G7</f>
        <v>3336.96</v>
      </c>
      <c r="AY7" s="174"/>
      <c r="AZ7" s="174"/>
      <c r="BA7" s="186">
        <f>AX7*SUM(AY7:AZ7)%+AX7</f>
        <v>3336.96</v>
      </c>
    </row>
    <row r="8" spans="1:1026">
      <c r="B8" s="173">
        <v>3</v>
      </c>
      <c r="C8" s="267"/>
      <c r="D8" s="273" t="s">
        <v>57</v>
      </c>
      <c r="E8" s="273"/>
      <c r="F8" s="270" t="s">
        <v>56</v>
      </c>
      <c r="G8" s="271">
        <v>110</v>
      </c>
      <c r="H8" s="274">
        <v>10</v>
      </c>
      <c r="I8" s="272">
        <v>8</v>
      </c>
      <c r="J8" s="272"/>
      <c r="K8" s="272"/>
      <c r="L8" s="272"/>
      <c r="M8" s="272"/>
      <c r="N8" s="182">
        <f t="shared" si="4"/>
        <v>18</v>
      </c>
      <c r="O8" s="276"/>
      <c r="P8" s="276"/>
      <c r="Q8" s="276"/>
      <c r="R8" s="276"/>
      <c r="S8" s="276"/>
      <c r="T8" s="276">
        <v>1</v>
      </c>
      <c r="U8" s="276"/>
      <c r="V8" s="276"/>
      <c r="W8" s="276"/>
      <c r="X8" s="276"/>
      <c r="Y8" s="276"/>
      <c r="Z8" s="276"/>
      <c r="AA8" s="276"/>
      <c r="AB8" s="276"/>
      <c r="AC8" s="276"/>
      <c r="AD8" s="276">
        <v>1</v>
      </c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7"/>
      <c r="AT8" s="183">
        <f t="shared" ref="AT8:AT11" si="5">SUM(O8:AS8)</f>
        <v>2</v>
      </c>
      <c r="AU8" s="187">
        <f t="shared" ref="AU8:AU11" si="6">N8-AT8</f>
        <v>16</v>
      </c>
      <c r="AV8" s="185">
        <f t="shared" ref="AV8:AV11" si="7">AT8*G8</f>
        <v>220</v>
      </c>
      <c r="AW8" s="186">
        <f t="shared" ref="AW8:AW11" si="8">AU8*G8</f>
        <v>1760</v>
      </c>
      <c r="AX8" s="186">
        <f t="shared" ref="AX8:AX11" si="9">I8*G8</f>
        <v>880</v>
      </c>
      <c r="AY8" s="174"/>
      <c r="AZ8" s="174"/>
      <c r="BA8" s="186">
        <f t="shared" ref="BA8:BA11" si="10">AX8*SUM(AY8:AZ8)%+AX8</f>
        <v>880</v>
      </c>
    </row>
    <row r="9" spans="1:1026">
      <c r="B9" s="173">
        <v>4</v>
      </c>
      <c r="C9" s="267"/>
      <c r="D9" s="273" t="s">
        <v>58</v>
      </c>
      <c r="E9" s="273"/>
      <c r="F9" s="270" t="s">
        <v>59</v>
      </c>
      <c r="G9" s="271">
        <v>0.25</v>
      </c>
      <c r="H9" s="274">
        <v>1000</v>
      </c>
      <c r="I9" s="272">
        <v>2000</v>
      </c>
      <c r="J9" s="272"/>
      <c r="K9" s="272"/>
      <c r="L9" s="272"/>
      <c r="M9" s="272"/>
      <c r="N9" s="182">
        <f t="shared" si="4"/>
        <v>3000</v>
      </c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7"/>
      <c r="AT9" s="183">
        <f t="shared" si="5"/>
        <v>0</v>
      </c>
      <c r="AU9" s="187">
        <f t="shared" si="6"/>
        <v>3000</v>
      </c>
      <c r="AV9" s="185">
        <f t="shared" si="7"/>
        <v>0</v>
      </c>
      <c r="AW9" s="186">
        <f t="shared" si="8"/>
        <v>750</v>
      </c>
      <c r="AX9" s="186">
        <f t="shared" si="9"/>
        <v>500</v>
      </c>
      <c r="AY9" s="174"/>
      <c r="AZ9" s="174"/>
      <c r="BA9" s="186">
        <f t="shared" si="10"/>
        <v>500</v>
      </c>
    </row>
    <row r="10" spans="1:1026">
      <c r="B10" s="173">
        <v>7</v>
      </c>
      <c r="C10" s="267"/>
      <c r="D10" s="273"/>
      <c r="E10" s="273"/>
      <c r="F10" s="270"/>
      <c r="G10" s="271"/>
      <c r="H10" s="274"/>
      <c r="I10" s="272"/>
      <c r="J10" s="272"/>
      <c r="K10" s="272"/>
      <c r="L10" s="272"/>
      <c r="M10" s="272"/>
      <c r="N10" s="182">
        <f t="shared" si="4"/>
        <v>0</v>
      </c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7"/>
      <c r="AT10" s="183">
        <f t="shared" si="5"/>
        <v>0</v>
      </c>
      <c r="AU10" s="187">
        <f t="shared" si="6"/>
        <v>0</v>
      </c>
      <c r="AV10" s="185">
        <f t="shared" si="7"/>
        <v>0</v>
      </c>
      <c r="AW10" s="186">
        <f t="shared" si="8"/>
        <v>0</v>
      </c>
      <c r="AX10" s="186">
        <f t="shared" si="9"/>
        <v>0</v>
      </c>
      <c r="AY10" s="174"/>
      <c r="AZ10" s="174"/>
      <c r="BA10" s="186">
        <f t="shared" si="10"/>
        <v>0</v>
      </c>
    </row>
    <row r="11" spans="1:1026">
      <c r="B11" s="173">
        <v>8</v>
      </c>
      <c r="C11" s="267"/>
      <c r="D11" s="273"/>
      <c r="E11" s="273"/>
      <c r="F11" s="270"/>
      <c r="G11" s="271"/>
      <c r="H11" s="274"/>
      <c r="I11" s="272"/>
      <c r="J11" s="272"/>
      <c r="K11" s="272"/>
      <c r="L11" s="272"/>
      <c r="M11" s="272"/>
      <c r="N11" s="182">
        <f t="shared" si="4"/>
        <v>0</v>
      </c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7"/>
      <c r="AT11" s="183">
        <f t="shared" si="5"/>
        <v>0</v>
      </c>
      <c r="AU11" s="187">
        <f t="shared" si="6"/>
        <v>0</v>
      </c>
      <c r="AV11" s="185">
        <f t="shared" si="7"/>
        <v>0</v>
      </c>
      <c r="AW11" s="186">
        <f t="shared" si="8"/>
        <v>0</v>
      </c>
      <c r="AX11" s="186">
        <f t="shared" si="9"/>
        <v>0</v>
      </c>
      <c r="AY11" s="174"/>
      <c r="AZ11" s="174"/>
      <c r="BA11" s="186">
        <f t="shared" si="10"/>
        <v>0</v>
      </c>
    </row>
    <row r="12" spans="1:1026" s="149" customFormat="1" ht="12.75">
      <c r="B12" s="173"/>
      <c r="C12" s="175"/>
      <c r="D12" s="352" t="s">
        <v>52</v>
      </c>
      <c r="E12" s="353"/>
      <c r="F12" s="353"/>
      <c r="G12" s="354"/>
      <c r="H12" s="176">
        <f>SUM(H6:H11)</f>
        <v>1091</v>
      </c>
      <c r="I12" s="176">
        <f>SUM(I6:I11)</f>
        <v>2062</v>
      </c>
      <c r="J12" s="176"/>
      <c r="K12" s="176"/>
      <c r="L12" s="176"/>
      <c r="M12" s="176"/>
      <c r="N12" s="176">
        <f t="shared" ref="N12:AR12" si="11">SUM(N6:N11)</f>
        <v>3153</v>
      </c>
      <c r="O12" s="176">
        <f t="shared" si="11"/>
        <v>0</v>
      </c>
      <c r="P12" s="176">
        <f t="shared" si="11"/>
        <v>1</v>
      </c>
      <c r="Q12" s="176">
        <f t="shared" si="11"/>
        <v>1</v>
      </c>
      <c r="R12" s="176">
        <f t="shared" si="11"/>
        <v>14</v>
      </c>
      <c r="S12" s="176">
        <f t="shared" si="11"/>
        <v>1</v>
      </c>
      <c r="T12" s="176">
        <f t="shared" si="11"/>
        <v>2</v>
      </c>
      <c r="U12" s="176">
        <f t="shared" si="11"/>
        <v>0</v>
      </c>
      <c r="V12" s="176">
        <f t="shared" si="11"/>
        <v>0</v>
      </c>
      <c r="W12" s="176">
        <f t="shared" si="11"/>
        <v>1</v>
      </c>
      <c r="X12" s="176">
        <f t="shared" si="11"/>
        <v>2</v>
      </c>
      <c r="Y12" s="176">
        <f t="shared" si="11"/>
        <v>1</v>
      </c>
      <c r="Z12" s="176">
        <f t="shared" si="11"/>
        <v>1</v>
      </c>
      <c r="AA12" s="176">
        <f t="shared" si="11"/>
        <v>1</v>
      </c>
      <c r="AB12" s="176">
        <f t="shared" si="11"/>
        <v>0</v>
      </c>
      <c r="AC12" s="176">
        <f t="shared" si="11"/>
        <v>0</v>
      </c>
      <c r="AD12" s="176">
        <f t="shared" si="11"/>
        <v>2</v>
      </c>
      <c r="AE12" s="176">
        <f t="shared" si="11"/>
        <v>0</v>
      </c>
      <c r="AF12" s="176">
        <f t="shared" si="11"/>
        <v>0</v>
      </c>
      <c r="AG12" s="176">
        <f t="shared" si="11"/>
        <v>0</v>
      </c>
      <c r="AH12" s="176">
        <f t="shared" si="11"/>
        <v>0</v>
      </c>
      <c r="AI12" s="176">
        <f t="shared" si="11"/>
        <v>0</v>
      </c>
      <c r="AJ12" s="176">
        <f t="shared" si="11"/>
        <v>0</v>
      </c>
      <c r="AK12" s="176">
        <f t="shared" si="11"/>
        <v>0</v>
      </c>
      <c r="AL12" s="176">
        <f t="shared" si="11"/>
        <v>0</v>
      </c>
      <c r="AM12" s="176">
        <f t="shared" si="11"/>
        <v>0</v>
      </c>
      <c r="AN12" s="176">
        <f t="shared" si="11"/>
        <v>0</v>
      </c>
      <c r="AO12" s="176">
        <f t="shared" si="11"/>
        <v>0</v>
      </c>
      <c r="AP12" s="176">
        <f t="shared" si="11"/>
        <v>0</v>
      </c>
      <c r="AQ12" s="176">
        <f t="shared" si="11"/>
        <v>0</v>
      </c>
      <c r="AR12" s="176">
        <f t="shared" si="11"/>
        <v>0</v>
      </c>
      <c r="AS12" s="177"/>
      <c r="AT12" s="176">
        <f t="shared" ref="AT12:BA12" si="12">SUM(AT6:AT11)</f>
        <v>27</v>
      </c>
      <c r="AU12" s="176">
        <f t="shared" si="12"/>
        <v>3126</v>
      </c>
      <c r="AV12" s="176">
        <f t="shared" si="12"/>
        <v>4518.96</v>
      </c>
      <c r="AW12" s="176">
        <f t="shared" si="12"/>
        <v>19120.559999999998</v>
      </c>
      <c r="AX12" s="176">
        <f t="shared" si="12"/>
        <v>12816.96</v>
      </c>
      <c r="AY12" s="176">
        <f t="shared" si="12"/>
        <v>0</v>
      </c>
      <c r="AZ12" s="176">
        <f t="shared" si="12"/>
        <v>0</v>
      </c>
      <c r="BA12" s="176">
        <f t="shared" si="12"/>
        <v>12816.96</v>
      </c>
    </row>
    <row r="13" spans="1:1026" s="149" customFormat="1">
      <c r="A13" s="178"/>
      <c r="D13" s="150"/>
      <c r="E13" s="150"/>
      <c r="F13" s="150"/>
      <c r="G13" s="151"/>
      <c r="H13" s="152"/>
      <c r="I13" s="151"/>
      <c r="J13" s="151"/>
      <c r="K13" s="151"/>
      <c r="L13" s="151"/>
      <c r="M13" s="151"/>
      <c r="AP13" s="153"/>
      <c r="AU13" s="151"/>
      <c r="AMJ13" s="178"/>
      <c r="AMK13" s="178"/>
      <c r="AML13" s="178"/>
    </row>
    <row r="14" spans="1:1026" s="149" customFormat="1">
      <c r="A14" s="178"/>
      <c r="D14" s="150"/>
      <c r="E14" s="150"/>
      <c r="F14" s="150"/>
      <c r="G14" s="151"/>
      <c r="H14" s="152"/>
      <c r="I14" s="151"/>
      <c r="J14" s="151"/>
      <c r="K14" s="151"/>
      <c r="L14" s="151"/>
      <c r="M14" s="151"/>
      <c r="AP14" s="153"/>
      <c r="AU14" s="151"/>
      <c r="AMJ14" s="178"/>
      <c r="AMK14" s="178"/>
      <c r="AML14" s="178"/>
    </row>
    <row r="15" spans="1:1026" s="149" customFormat="1">
      <c r="A15" s="178"/>
      <c r="D15" s="150"/>
      <c r="E15" s="150"/>
      <c r="F15" s="150"/>
      <c r="G15" s="151"/>
      <c r="H15" s="152"/>
      <c r="I15" s="151"/>
      <c r="J15" s="151"/>
      <c r="K15" s="151"/>
      <c r="L15" s="151"/>
      <c r="M15" s="151"/>
      <c r="AP15" s="153"/>
      <c r="AU15" s="151"/>
      <c r="AMJ15" s="178"/>
      <c r="AMK15" s="178"/>
      <c r="AML15" s="178"/>
    </row>
    <row r="16" spans="1:1026" s="149" customFormat="1">
      <c r="A16" s="178"/>
      <c r="C16" s="375"/>
      <c r="D16" s="375"/>
      <c r="E16" s="375"/>
      <c r="F16" s="151"/>
      <c r="G16" s="151"/>
      <c r="H16" s="151"/>
      <c r="I16" s="151"/>
      <c r="L16" s="151"/>
      <c r="M16" s="151"/>
      <c r="AP16" s="153"/>
      <c r="AU16" s="151"/>
      <c r="AMJ16" s="178"/>
      <c r="AMK16" s="178"/>
      <c r="AML16" s="178"/>
    </row>
    <row r="17" spans="6:9">
      <c r="F17" s="152"/>
      <c r="G17" s="149"/>
      <c r="H17" s="150"/>
      <c r="I17" s="150"/>
    </row>
  </sheetData>
  <sheetProtection password="CF7A" sheet="1" insertRows="0"/>
  <customSheetViews>
    <customSheetView guid="{5E113600-004F-4409-A088-DFECFF9BC96A}" showGridLines="0" hiddenColumns="1">
      <pane xSplit="14" ySplit="5" topLeftCell="O6" activePane="bottomRight" state="frozen"/>
      <selection pane="bottomRight" activeCell="AL16" sqref="AL16"/>
      <pageMargins left="0.7" right="0.7" top="0.75" bottom="0.75" header="0.51180555555555496" footer="0.51180555555555496"/>
      <pageSetup paperSize="9" firstPageNumber="0" orientation="portrait" horizontalDpi="300" verticalDpi="300" r:id="rId1"/>
    </customSheetView>
    <customSheetView guid="{1F97382E-80B0-473D-874E-BD5E60D01A4B}" showGridLines="0" hiddenColumns="1">
      <pane xSplit="14" ySplit="5" topLeftCell="O6" activePane="bottomRight" state="frozen"/>
      <selection pane="bottomRight" activeCell="AS9" sqref="AS9"/>
      <pageMargins left="0.7" right="0.7" top="0.75" bottom="0.75" header="0.51180555555555496" footer="0.51180555555555496"/>
      <pageSetup paperSize="9" firstPageNumber="0" orientation="portrait" horizontalDpi="300" verticalDpi="300" r:id="rId2"/>
    </customSheetView>
    <customSheetView guid="{7663FDEA-AE2F-416B-8123-1D493B6639C0}" showGridLines="0" hiddenColumns="1">
      <pane xSplit="14" ySplit="5" topLeftCell="O6" activePane="bottomRight" state="frozen"/>
      <selection pane="bottomRight" activeCell="AL16" sqref="AL16"/>
      <pageMargins left="0.7" right="0.7" top="0.75" bottom="0.75" header="0.51180555555555496" footer="0.51180555555555496"/>
      <pageSetup paperSize="9" firstPageNumber="0" orientation="portrait" horizontalDpi="300" verticalDpi="300" r:id="rId3"/>
    </customSheetView>
    <customSheetView guid="{C287C8AD-6E2E-4D5F-930B-C18EF9030790}" showGridLines="0" hiddenColumns="1">
      <pane xSplit="14" ySplit="5" topLeftCell="O6" activePane="bottomRight" state="frozen"/>
      <selection pane="bottomRight" activeCell="AL16" sqref="AL16"/>
      <pageMargins left="0.7" right="0.7" top="0.75" bottom="0.75" header="0.51180555555555496" footer="0.51180555555555496"/>
      <pageSetup paperSize="9" firstPageNumber="0" orientation="portrait" horizontalDpi="300" verticalDpi="300" r:id="rId4"/>
    </customSheetView>
  </customSheetViews>
  <mergeCells count="3">
    <mergeCell ref="B2:N2"/>
    <mergeCell ref="D12:G12"/>
    <mergeCell ref="C16:E16"/>
  </mergeCells>
  <conditionalFormatting sqref="B4:M4 O4:AS4">
    <cfRule type="containsText" dxfId="1297" priority="6" operator="containsText" text="sat"/>
    <cfRule type="containsText" dxfId="1296" priority="7" operator="containsText" text="sun"/>
  </conditionalFormatting>
  <conditionalFormatting sqref="D6:E6">
    <cfRule type="duplicateValues" priority="1"/>
    <cfRule type="duplicateValues" priority="2"/>
    <cfRule type="duplicateValues" priority="3"/>
    <cfRule type="duplicateValues" priority="4"/>
  </conditionalFormatting>
  <conditionalFormatting sqref="D7:E11">
    <cfRule type="duplicateValues" priority="1261"/>
    <cfRule type="duplicateValues" priority="1262"/>
    <cfRule type="duplicateValues" priority="1263"/>
    <cfRule type="duplicateValues" priority="1264"/>
  </conditionalFormatting>
  <conditionalFormatting sqref="N1:N1048576 AT1:AX1048576 BA1:BA1048576">
    <cfRule type="cellIs" dxfId="1295" priority="5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ML20"/>
  <sheetViews>
    <sheetView showGridLines="0" zoomScale="90" zoomScaleNormal="90" workbookViewId="0">
      <pane xSplit="14" ySplit="5" topLeftCell="O6" activePane="bottomRight" state="frozen"/>
      <selection pane="topRight" activeCell="J1" sqref="J1"/>
      <selection pane="bottomLeft" activeCell="A5" sqref="A5"/>
      <selection pane="bottomRight" activeCell="AD7" sqref="AD7"/>
    </sheetView>
  </sheetViews>
  <sheetFormatPr defaultColWidth="0" defaultRowHeight="15"/>
  <cols>
    <col min="1" max="1" width="1.85546875" style="178" customWidth="1"/>
    <col min="2" max="2" width="6.140625" style="149" bestFit="1" customWidth="1"/>
    <col min="3" max="3" width="6.85546875" style="149" bestFit="1" customWidth="1"/>
    <col min="4" max="4" width="33.140625" style="150" bestFit="1" customWidth="1"/>
    <col min="5" max="5" width="14.5703125" style="150" bestFit="1" customWidth="1"/>
    <col min="6" max="6" width="5" style="150" bestFit="1" customWidth="1"/>
    <col min="7" max="7" width="8.7109375" style="151" bestFit="1" customWidth="1"/>
    <col min="8" max="8" width="7.5703125" style="152" bestFit="1" customWidth="1"/>
    <col min="9" max="9" width="5.7109375" style="151" bestFit="1" customWidth="1"/>
    <col min="10" max="10" width="6.28515625" style="151" bestFit="1" customWidth="1"/>
    <col min="11" max="11" width="5.7109375" style="151" customWidth="1"/>
    <col min="12" max="12" width="7" style="151" bestFit="1" customWidth="1"/>
    <col min="13" max="13" width="7" style="151" customWidth="1"/>
    <col min="14" max="14" width="5.140625" style="149" bestFit="1" customWidth="1"/>
    <col min="15" max="41" width="3.28515625" style="149" bestFit="1" customWidth="1"/>
    <col min="42" max="42" width="3.28515625" style="153" bestFit="1" customWidth="1"/>
    <col min="43" max="44" width="3.28515625" style="149" bestFit="1" customWidth="1"/>
    <col min="45" max="45" width="4.28515625" style="149" bestFit="1" customWidth="1"/>
    <col min="46" max="46" width="5.5703125" style="149" bestFit="1" customWidth="1"/>
    <col min="47" max="47" width="6.42578125" style="151" bestFit="1" customWidth="1"/>
    <col min="48" max="50" width="7.42578125" style="149" bestFit="1" customWidth="1"/>
    <col min="51" max="51" width="4.85546875" style="149" bestFit="1" customWidth="1"/>
    <col min="52" max="52" width="4.7109375" style="149" bestFit="1" customWidth="1"/>
    <col min="53" max="53" width="8.140625" style="149" bestFit="1" customWidth="1"/>
    <col min="54" max="54" width="3.28515625" style="149" customWidth="1"/>
    <col min="55" max="55" width="9.140625" style="149" hidden="1" customWidth="1"/>
    <col min="56" max="1023" width="0" style="149" hidden="1" customWidth="1"/>
    <col min="1024" max="1026" width="0" style="178" hidden="1" customWidth="1"/>
    <col min="1027" max="16384" width="9.140625" style="178" hidden="1"/>
  </cols>
  <sheetData>
    <row r="1" spans="1:1026" ht="15.75" thickBot="1"/>
    <row r="2" spans="1:1026" ht="21.75" thickBot="1">
      <c r="B2" s="373" t="str">
        <f>Summary!R5&amp;" Toner Material Consumption for the month of "&amp; TEXT(Summary!R4," MMM YY")</f>
        <v>SOC Toner Material Consumption for the month of  Feb 26</v>
      </c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  <c r="N2" s="374"/>
      <c r="O2" s="154"/>
      <c r="P2" s="154"/>
      <c r="Q2" s="154"/>
      <c r="R2" s="154"/>
      <c r="S2" s="154"/>
      <c r="T2" s="154"/>
      <c r="U2" s="154"/>
      <c r="V2" s="154"/>
      <c r="W2" s="154"/>
      <c r="X2" s="154"/>
      <c r="Y2" s="154"/>
      <c r="Z2" s="154"/>
      <c r="AA2" s="154"/>
      <c r="AB2" s="154"/>
      <c r="AC2" s="154"/>
      <c r="AD2" s="154"/>
      <c r="AE2" s="154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6"/>
      <c r="AQ2" s="155"/>
      <c r="AR2" s="155"/>
      <c r="AS2" s="155"/>
      <c r="AT2" s="157"/>
      <c r="AU2" s="154"/>
      <c r="AV2" s="154"/>
    </row>
    <row r="3" spans="1:1026">
      <c r="B3" s="154"/>
      <c r="C3" s="154"/>
      <c r="D3" s="158"/>
      <c r="E3" s="158"/>
      <c r="F3" s="158"/>
      <c r="G3" s="158"/>
      <c r="H3" s="159"/>
      <c r="I3" s="160"/>
      <c r="J3" s="160"/>
      <c r="K3" s="160"/>
      <c r="L3" s="160"/>
      <c r="M3" s="160"/>
      <c r="N3" s="154"/>
      <c r="O3" s="154"/>
      <c r="P3" s="154"/>
      <c r="Q3" s="154"/>
      <c r="R3" s="154"/>
      <c r="S3" s="154"/>
      <c r="T3" s="154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154"/>
      <c r="AL3" s="154"/>
      <c r="AM3" s="154"/>
      <c r="AN3" s="154"/>
      <c r="AO3" s="154"/>
      <c r="AP3" s="161"/>
      <c r="AQ3" s="154"/>
      <c r="AR3" s="154"/>
      <c r="AS3" s="154"/>
      <c r="AT3" s="154"/>
      <c r="AU3" s="154"/>
      <c r="AV3" s="154"/>
    </row>
    <row r="4" spans="1:1026" ht="24.75">
      <c r="B4" s="162"/>
      <c r="C4" s="162"/>
      <c r="D4" s="163"/>
      <c r="E4" s="163"/>
      <c r="F4" s="163"/>
      <c r="G4" s="163"/>
      <c r="H4" s="164"/>
      <c r="I4" s="165"/>
      <c r="J4" s="165"/>
      <c r="K4" s="165"/>
      <c r="L4" s="165"/>
      <c r="M4" s="165"/>
      <c r="N4" s="166" t="s">
        <v>258</v>
      </c>
      <c r="O4" s="167" t="str">
        <f>TEXT(O5,"ddd")</f>
        <v>Sun</v>
      </c>
      <c r="P4" s="167" t="str">
        <f t="shared" ref="P4:AH4" si="0">TEXT(P5,"ddd")</f>
        <v>Mon</v>
      </c>
      <c r="Q4" s="167" t="str">
        <f t="shared" si="0"/>
        <v>Tue</v>
      </c>
      <c r="R4" s="167" t="str">
        <f t="shared" si="0"/>
        <v>Wed</v>
      </c>
      <c r="S4" s="167" t="str">
        <f t="shared" si="0"/>
        <v>Thu</v>
      </c>
      <c r="T4" s="167" t="str">
        <f t="shared" si="0"/>
        <v>Fri</v>
      </c>
      <c r="U4" s="167" t="str">
        <f t="shared" si="0"/>
        <v>Sat</v>
      </c>
      <c r="V4" s="167" t="str">
        <f t="shared" si="0"/>
        <v>Sun</v>
      </c>
      <c r="W4" s="167" t="str">
        <f t="shared" si="0"/>
        <v>Mon</v>
      </c>
      <c r="X4" s="167" t="str">
        <f t="shared" si="0"/>
        <v>Tue</v>
      </c>
      <c r="Y4" s="167" t="str">
        <f t="shared" si="0"/>
        <v>Wed</v>
      </c>
      <c r="Z4" s="167" t="str">
        <f t="shared" si="0"/>
        <v>Thu</v>
      </c>
      <c r="AA4" s="167" t="str">
        <f t="shared" si="0"/>
        <v>Fri</v>
      </c>
      <c r="AB4" s="167" t="str">
        <f t="shared" si="0"/>
        <v>Sat</v>
      </c>
      <c r="AC4" s="167" t="str">
        <f t="shared" si="0"/>
        <v>Sun</v>
      </c>
      <c r="AD4" s="167" t="str">
        <f t="shared" si="0"/>
        <v>Mon</v>
      </c>
      <c r="AE4" s="167" t="str">
        <f t="shared" si="0"/>
        <v>Tue</v>
      </c>
      <c r="AF4" s="167" t="str">
        <f t="shared" si="0"/>
        <v>Wed</v>
      </c>
      <c r="AG4" s="167" t="str">
        <f t="shared" si="0"/>
        <v>Thu</v>
      </c>
      <c r="AH4" s="167" t="str">
        <f t="shared" si="0"/>
        <v>Fri</v>
      </c>
      <c r="AI4" s="167" t="str">
        <f>TEXT(AI5,"ddd")</f>
        <v>Sat</v>
      </c>
      <c r="AJ4" s="167" t="str">
        <f t="shared" ref="AJ4:AS4" si="1">TEXT(AJ5,"ddd")</f>
        <v>Sun</v>
      </c>
      <c r="AK4" s="167" t="str">
        <f t="shared" si="1"/>
        <v>Mon</v>
      </c>
      <c r="AL4" s="167" t="str">
        <f t="shared" si="1"/>
        <v>Tue</v>
      </c>
      <c r="AM4" s="167" t="str">
        <f t="shared" si="1"/>
        <v>Wed</v>
      </c>
      <c r="AN4" s="167" t="str">
        <f t="shared" si="1"/>
        <v>Thu</v>
      </c>
      <c r="AO4" s="167" t="str">
        <f t="shared" si="1"/>
        <v>Fri</v>
      </c>
      <c r="AP4" s="167" t="str">
        <f t="shared" si="1"/>
        <v>Sat</v>
      </c>
      <c r="AQ4" s="167" t="str">
        <f t="shared" si="1"/>
        <v>Sun</v>
      </c>
      <c r="AR4" s="167" t="str">
        <f t="shared" si="1"/>
        <v>Mon</v>
      </c>
      <c r="AS4" s="167" t="str">
        <f t="shared" si="1"/>
        <v>Tue</v>
      </c>
      <c r="AT4" s="166" t="s">
        <v>258</v>
      </c>
      <c r="AU4" s="166" t="s">
        <v>258</v>
      </c>
      <c r="AV4" s="166" t="s">
        <v>258</v>
      </c>
      <c r="AW4" s="166" t="s">
        <v>258</v>
      </c>
      <c r="AX4" s="166" t="s">
        <v>258</v>
      </c>
      <c r="BA4" s="166" t="s">
        <v>258</v>
      </c>
    </row>
    <row r="5" spans="1:1026" ht="38.25">
      <c r="B5" s="168" t="s">
        <v>6</v>
      </c>
      <c r="C5" s="168" t="s">
        <v>224</v>
      </c>
      <c r="D5" s="169" t="s">
        <v>7</v>
      </c>
      <c r="E5" s="169" t="s">
        <v>437</v>
      </c>
      <c r="F5" s="169" t="s">
        <v>8</v>
      </c>
      <c r="G5" s="169" t="s">
        <v>1</v>
      </c>
      <c r="H5" s="170" t="s">
        <v>51</v>
      </c>
      <c r="I5" s="89" t="s">
        <v>54</v>
      </c>
      <c r="J5" s="171" t="s">
        <v>264</v>
      </c>
      <c r="K5" s="171" t="s">
        <v>265</v>
      </c>
      <c r="L5" s="171" t="s">
        <v>266</v>
      </c>
      <c r="M5" s="166" t="s">
        <v>63</v>
      </c>
      <c r="N5" s="92" t="s">
        <v>9</v>
      </c>
      <c r="O5" s="172">
        <f>Summary!R4</f>
        <v>46054</v>
      </c>
      <c r="P5" s="172">
        <f>O5+1</f>
        <v>46055</v>
      </c>
      <c r="Q5" s="172">
        <f t="shared" ref="Q5:AS5" si="2">P5+1</f>
        <v>46056</v>
      </c>
      <c r="R5" s="172">
        <f t="shared" si="2"/>
        <v>46057</v>
      </c>
      <c r="S5" s="172">
        <f t="shared" si="2"/>
        <v>46058</v>
      </c>
      <c r="T5" s="172">
        <f t="shared" si="2"/>
        <v>46059</v>
      </c>
      <c r="U5" s="172">
        <f t="shared" si="2"/>
        <v>46060</v>
      </c>
      <c r="V5" s="172">
        <f t="shared" si="2"/>
        <v>46061</v>
      </c>
      <c r="W5" s="172">
        <f t="shared" si="2"/>
        <v>46062</v>
      </c>
      <c r="X5" s="172">
        <f t="shared" si="2"/>
        <v>46063</v>
      </c>
      <c r="Y5" s="172">
        <f t="shared" si="2"/>
        <v>46064</v>
      </c>
      <c r="Z5" s="172">
        <f t="shared" si="2"/>
        <v>46065</v>
      </c>
      <c r="AA5" s="172">
        <f t="shared" si="2"/>
        <v>46066</v>
      </c>
      <c r="AB5" s="172">
        <f t="shared" si="2"/>
        <v>46067</v>
      </c>
      <c r="AC5" s="172">
        <f t="shared" si="2"/>
        <v>46068</v>
      </c>
      <c r="AD5" s="172">
        <f t="shared" si="2"/>
        <v>46069</v>
      </c>
      <c r="AE5" s="172">
        <f t="shared" si="2"/>
        <v>46070</v>
      </c>
      <c r="AF5" s="172">
        <f t="shared" si="2"/>
        <v>46071</v>
      </c>
      <c r="AG5" s="172">
        <f t="shared" si="2"/>
        <v>46072</v>
      </c>
      <c r="AH5" s="172">
        <f t="shared" si="2"/>
        <v>46073</v>
      </c>
      <c r="AI5" s="172">
        <f t="shared" si="2"/>
        <v>46074</v>
      </c>
      <c r="AJ5" s="172">
        <f t="shared" si="2"/>
        <v>46075</v>
      </c>
      <c r="AK5" s="172">
        <f t="shared" si="2"/>
        <v>46076</v>
      </c>
      <c r="AL5" s="172">
        <f t="shared" si="2"/>
        <v>46077</v>
      </c>
      <c r="AM5" s="172">
        <f t="shared" si="2"/>
        <v>46078</v>
      </c>
      <c r="AN5" s="172">
        <f t="shared" si="2"/>
        <v>46079</v>
      </c>
      <c r="AO5" s="172">
        <f t="shared" si="2"/>
        <v>46080</v>
      </c>
      <c r="AP5" s="172">
        <f t="shared" si="2"/>
        <v>46081</v>
      </c>
      <c r="AQ5" s="172">
        <f t="shared" si="2"/>
        <v>46082</v>
      </c>
      <c r="AR5" s="172">
        <f t="shared" si="2"/>
        <v>46083</v>
      </c>
      <c r="AS5" s="172">
        <f t="shared" si="2"/>
        <v>46084</v>
      </c>
      <c r="AT5" s="93" t="s">
        <v>249</v>
      </c>
      <c r="AU5" s="93" t="s">
        <v>250</v>
      </c>
      <c r="AV5" s="93" t="s">
        <v>251</v>
      </c>
      <c r="AW5" s="93" t="s">
        <v>227</v>
      </c>
      <c r="AX5" s="93" t="s">
        <v>226</v>
      </c>
      <c r="AY5" s="93" t="s">
        <v>175</v>
      </c>
      <c r="AZ5" s="93" t="s">
        <v>176</v>
      </c>
      <c r="BA5" s="93" t="s">
        <v>267</v>
      </c>
    </row>
    <row r="6" spans="1:1026">
      <c r="B6" s="278">
        <v>1</v>
      </c>
      <c r="C6" s="267"/>
      <c r="D6" s="269" t="s">
        <v>184</v>
      </c>
      <c r="E6" s="319" t="s">
        <v>487</v>
      </c>
      <c r="F6" s="282" t="s">
        <v>59</v>
      </c>
      <c r="G6" s="271">
        <v>400</v>
      </c>
      <c r="H6" s="272">
        <v>2</v>
      </c>
      <c r="I6" s="272"/>
      <c r="J6" s="272"/>
      <c r="K6" s="272"/>
      <c r="L6" s="272"/>
      <c r="M6" s="272"/>
      <c r="N6" s="304">
        <f>SUM(H6:L6)</f>
        <v>2</v>
      </c>
      <c r="O6" s="276"/>
      <c r="P6" s="276"/>
      <c r="Q6" s="276"/>
      <c r="R6" s="276"/>
      <c r="S6" s="276"/>
      <c r="T6" s="276"/>
      <c r="U6" s="276"/>
      <c r="V6" s="276"/>
      <c r="W6" s="276">
        <v>1</v>
      </c>
      <c r="X6" s="276"/>
      <c r="Y6" s="276"/>
      <c r="Z6" s="276">
        <v>1</v>
      </c>
      <c r="AA6" s="276"/>
      <c r="AB6" s="276"/>
      <c r="AC6" s="276"/>
      <c r="AD6" s="276"/>
      <c r="AE6" s="276"/>
      <c r="AF6" s="276"/>
      <c r="AG6" s="276"/>
      <c r="AH6" s="276"/>
      <c r="AI6" s="276"/>
      <c r="AJ6" s="276"/>
      <c r="AK6" s="276"/>
      <c r="AL6" s="276"/>
      <c r="AM6" s="276"/>
      <c r="AN6" s="276"/>
      <c r="AO6" s="276"/>
      <c r="AP6" s="276"/>
      <c r="AQ6" s="276"/>
      <c r="AR6" s="276"/>
      <c r="AS6" s="276"/>
      <c r="AT6" s="305">
        <f t="shared" ref="AT6:AT9" si="3">SUM(O6:AS6)</f>
        <v>2</v>
      </c>
      <c r="AU6" s="306">
        <f>N6-AT6</f>
        <v>0</v>
      </c>
      <c r="AV6" s="307">
        <f>AT6*G6</f>
        <v>800</v>
      </c>
      <c r="AW6" s="308">
        <f>AU6*G6</f>
        <v>0</v>
      </c>
      <c r="AX6" s="308">
        <f>I6*G6</f>
        <v>0</v>
      </c>
      <c r="AY6" s="309"/>
      <c r="AZ6" s="309"/>
      <c r="BA6" s="308">
        <f>AX6*SUM(AY6:AZ6)%+AX6</f>
        <v>0</v>
      </c>
    </row>
    <row r="7" spans="1:1026">
      <c r="B7" s="278">
        <v>2</v>
      </c>
      <c r="C7" s="267"/>
      <c r="D7" s="280" t="s">
        <v>112</v>
      </c>
      <c r="E7" s="280" t="s">
        <v>486</v>
      </c>
      <c r="F7" s="282" t="s">
        <v>59</v>
      </c>
      <c r="G7" s="271">
        <v>1200</v>
      </c>
      <c r="H7" s="274">
        <v>1</v>
      </c>
      <c r="I7" s="272">
        <v>2</v>
      </c>
      <c r="J7" s="272"/>
      <c r="K7" s="272"/>
      <c r="L7" s="272"/>
      <c r="M7" s="272"/>
      <c r="N7" s="304">
        <f t="shared" ref="N7:N12" si="4">SUM(H7:L7)</f>
        <v>3</v>
      </c>
      <c r="O7" s="276"/>
      <c r="P7" s="276"/>
      <c r="Q7" s="276"/>
      <c r="R7" s="276"/>
      <c r="S7" s="276">
        <v>1</v>
      </c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>
        <v>1</v>
      </c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305">
        <f t="shared" si="3"/>
        <v>2</v>
      </c>
      <c r="AU7" s="310">
        <f>N7-AT7</f>
        <v>1</v>
      </c>
      <c r="AV7" s="307">
        <f>AT7*G7</f>
        <v>2400</v>
      </c>
      <c r="AW7" s="308">
        <f>AU7*G7</f>
        <v>1200</v>
      </c>
      <c r="AX7" s="308">
        <f>I7*G7</f>
        <v>2400</v>
      </c>
      <c r="AY7" s="309"/>
      <c r="AZ7" s="309"/>
      <c r="BA7" s="308">
        <f>AX7*SUM(AY7:AZ7)%+AX7</f>
        <v>2400</v>
      </c>
    </row>
    <row r="8" spans="1:1026">
      <c r="B8" s="278">
        <v>3</v>
      </c>
      <c r="C8" s="267"/>
      <c r="D8" s="273" t="s">
        <v>241</v>
      </c>
      <c r="E8" s="280" t="s">
        <v>441</v>
      </c>
      <c r="F8" s="282" t="s">
        <v>59</v>
      </c>
      <c r="G8" s="271">
        <v>1200</v>
      </c>
      <c r="H8" s="274">
        <v>4</v>
      </c>
      <c r="I8" s="272"/>
      <c r="J8" s="272"/>
      <c r="K8" s="272"/>
      <c r="L8" s="272"/>
      <c r="M8" s="272"/>
      <c r="N8" s="304">
        <f t="shared" si="4"/>
        <v>4</v>
      </c>
      <c r="O8" s="276"/>
      <c r="P8" s="276"/>
      <c r="Q8" s="276"/>
      <c r="R8" s="276"/>
      <c r="S8" s="276"/>
      <c r="T8" s="276"/>
      <c r="U8" s="276"/>
      <c r="V8" s="276"/>
      <c r="W8" s="276"/>
      <c r="X8" s="276"/>
      <c r="Y8" s="276"/>
      <c r="Z8" s="276"/>
      <c r="AA8" s="276"/>
      <c r="AB8" s="276"/>
      <c r="AC8" s="276"/>
      <c r="AD8" s="276"/>
      <c r="AE8" s="276"/>
      <c r="AF8" s="276"/>
      <c r="AG8" s="276"/>
      <c r="AH8" s="276"/>
      <c r="AI8" s="276"/>
      <c r="AJ8" s="276"/>
      <c r="AK8" s="276"/>
      <c r="AL8" s="276"/>
      <c r="AM8" s="276"/>
      <c r="AN8" s="276"/>
      <c r="AO8" s="276"/>
      <c r="AP8" s="276"/>
      <c r="AQ8" s="276"/>
      <c r="AR8" s="276"/>
      <c r="AS8" s="276"/>
      <c r="AT8" s="305">
        <f t="shared" si="3"/>
        <v>0</v>
      </c>
      <c r="AU8" s="310">
        <f t="shared" ref="AU8:AU9" si="5">N8-AT8</f>
        <v>4</v>
      </c>
      <c r="AV8" s="307">
        <f t="shared" ref="AV8:AV9" si="6">AT8*G8</f>
        <v>0</v>
      </c>
      <c r="AW8" s="308">
        <f t="shared" ref="AW8:AW9" si="7">AU8*G8</f>
        <v>4800</v>
      </c>
      <c r="AX8" s="308">
        <f t="shared" ref="AX8:AX9" si="8">I8*G8</f>
        <v>0</v>
      </c>
      <c r="AY8" s="309"/>
      <c r="AZ8" s="309"/>
      <c r="BA8" s="308">
        <f t="shared" ref="BA8:BA9" si="9">AX8*SUM(AY8:AZ8)%+AX8</f>
        <v>0</v>
      </c>
    </row>
    <row r="9" spans="1:1026">
      <c r="B9" s="278">
        <v>4</v>
      </c>
      <c r="C9" s="267"/>
      <c r="D9" s="280" t="s">
        <v>438</v>
      </c>
      <c r="E9" s="280" t="s">
        <v>442</v>
      </c>
      <c r="F9" s="282" t="s">
        <v>59</v>
      </c>
      <c r="G9" s="271">
        <v>1200</v>
      </c>
      <c r="H9" s="274">
        <v>1</v>
      </c>
      <c r="I9" s="272"/>
      <c r="J9" s="272"/>
      <c r="K9" s="272"/>
      <c r="L9" s="272"/>
      <c r="M9" s="272"/>
      <c r="N9" s="304">
        <f t="shared" si="4"/>
        <v>1</v>
      </c>
      <c r="O9" s="276"/>
      <c r="P9" s="276"/>
      <c r="Q9" s="276"/>
      <c r="R9" s="276">
        <v>1</v>
      </c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  <c r="AL9" s="276"/>
      <c r="AM9" s="276"/>
      <c r="AN9" s="276"/>
      <c r="AO9" s="276"/>
      <c r="AP9" s="276"/>
      <c r="AQ9" s="276"/>
      <c r="AR9" s="276"/>
      <c r="AS9" s="276"/>
      <c r="AT9" s="305">
        <f t="shared" si="3"/>
        <v>1</v>
      </c>
      <c r="AU9" s="310">
        <f t="shared" si="5"/>
        <v>0</v>
      </c>
      <c r="AV9" s="307">
        <f t="shared" si="6"/>
        <v>1200</v>
      </c>
      <c r="AW9" s="308">
        <f t="shared" si="7"/>
        <v>0</v>
      </c>
      <c r="AX9" s="308">
        <f t="shared" si="8"/>
        <v>0</v>
      </c>
      <c r="AY9" s="309"/>
      <c r="AZ9" s="309"/>
      <c r="BA9" s="308">
        <f t="shared" si="9"/>
        <v>0</v>
      </c>
    </row>
    <row r="10" spans="1:1026">
      <c r="B10" s="278">
        <v>5</v>
      </c>
      <c r="C10" s="267"/>
      <c r="D10" s="280" t="s">
        <v>439</v>
      </c>
      <c r="E10" s="280" t="s">
        <v>442</v>
      </c>
      <c r="F10" s="282" t="s">
        <v>59</v>
      </c>
      <c r="G10" s="271">
        <v>1200</v>
      </c>
      <c r="H10" s="274">
        <v>0</v>
      </c>
      <c r="I10" s="272"/>
      <c r="J10" s="272"/>
      <c r="K10" s="272"/>
      <c r="L10" s="272"/>
      <c r="M10" s="272"/>
      <c r="N10" s="304">
        <f t="shared" si="4"/>
        <v>0</v>
      </c>
      <c r="O10" s="276"/>
      <c r="P10" s="276"/>
      <c r="Q10" s="276"/>
      <c r="R10" s="276"/>
      <c r="S10" s="276"/>
      <c r="T10" s="276"/>
      <c r="U10" s="276"/>
      <c r="V10" s="276"/>
      <c r="W10" s="276"/>
      <c r="X10" s="276"/>
      <c r="Y10" s="276"/>
      <c r="Z10" s="276"/>
      <c r="AA10" s="276"/>
      <c r="AB10" s="276"/>
      <c r="AC10" s="276"/>
      <c r="AD10" s="276"/>
      <c r="AE10" s="276"/>
      <c r="AF10" s="276"/>
      <c r="AG10" s="276"/>
      <c r="AH10" s="276"/>
      <c r="AI10" s="276"/>
      <c r="AJ10" s="276"/>
      <c r="AK10" s="276"/>
      <c r="AL10" s="276"/>
      <c r="AM10" s="276"/>
      <c r="AN10" s="276"/>
      <c r="AO10" s="276"/>
      <c r="AP10" s="276"/>
      <c r="AQ10" s="276"/>
      <c r="AR10" s="276"/>
      <c r="AS10" s="276"/>
      <c r="AT10" s="305">
        <f t="shared" ref="AT10:AT12" si="10">SUM(O10:AS10)</f>
        <v>0</v>
      </c>
      <c r="AU10" s="310">
        <f t="shared" ref="AU10:AU12" si="11">N10-AT10</f>
        <v>0</v>
      </c>
      <c r="AV10" s="307">
        <f t="shared" ref="AV10:AV12" si="12">AT10*G10</f>
        <v>0</v>
      </c>
      <c r="AW10" s="308">
        <f t="shared" ref="AW10:AW12" si="13">AU10*G10</f>
        <v>0</v>
      </c>
      <c r="AX10" s="308">
        <f t="shared" ref="AX10:AX12" si="14">I10*G10</f>
        <v>0</v>
      </c>
      <c r="AY10" s="309"/>
      <c r="AZ10" s="309"/>
      <c r="BA10" s="308">
        <f t="shared" ref="BA10:BA12" si="15">AX10*SUM(AY10:AZ10)%+AX10</f>
        <v>0</v>
      </c>
    </row>
    <row r="11" spans="1:1026">
      <c r="B11" s="278">
        <v>6</v>
      </c>
      <c r="C11" s="267"/>
      <c r="D11" s="280" t="s">
        <v>440</v>
      </c>
      <c r="E11" s="280" t="s">
        <v>442</v>
      </c>
      <c r="F11" s="282" t="s">
        <v>59</v>
      </c>
      <c r="G11" s="271">
        <v>1200</v>
      </c>
      <c r="H11" s="274">
        <v>0</v>
      </c>
      <c r="I11" s="272"/>
      <c r="J11" s="272"/>
      <c r="K11" s="272"/>
      <c r="L11" s="272"/>
      <c r="M11" s="272"/>
      <c r="N11" s="304">
        <f t="shared" si="4"/>
        <v>0</v>
      </c>
      <c r="O11" s="276"/>
      <c r="P11" s="276"/>
      <c r="Q11" s="276"/>
      <c r="R11" s="276"/>
      <c r="S11" s="276"/>
      <c r="T11" s="276"/>
      <c r="U11" s="276"/>
      <c r="V11" s="276"/>
      <c r="W11" s="276"/>
      <c r="X11" s="276"/>
      <c r="Y11" s="276"/>
      <c r="Z11" s="276"/>
      <c r="AA11" s="276"/>
      <c r="AB11" s="276"/>
      <c r="AC11" s="276"/>
      <c r="AD11" s="276"/>
      <c r="AE11" s="276"/>
      <c r="AF11" s="276"/>
      <c r="AG11" s="276"/>
      <c r="AH11" s="276"/>
      <c r="AI11" s="276"/>
      <c r="AJ11" s="276"/>
      <c r="AK11" s="276"/>
      <c r="AL11" s="276"/>
      <c r="AM11" s="276"/>
      <c r="AN11" s="276"/>
      <c r="AO11" s="276"/>
      <c r="AP11" s="276"/>
      <c r="AQ11" s="276"/>
      <c r="AR11" s="276"/>
      <c r="AS11" s="276"/>
      <c r="AT11" s="305">
        <f t="shared" si="10"/>
        <v>0</v>
      </c>
      <c r="AU11" s="310">
        <f t="shared" si="11"/>
        <v>0</v>
      </c>
      <c r="AV11" s="307">
        <f t="shared" si="12"/>
        <v>0</v>
      </c>
      <c r="AW11" s="308">
        <f t="shared" si="13"/>
        <v>0</v>
      </c>
      <c r="AX11" s="308">
        <f t="shared" si="14"/>
        <v>0</v>
      </c>
      <c r="AY11" s="309"/>
      <c r="AZ11" s="309"/>
      <c r="BA11" s="308">
        <f t="shared" si="15"/>
        <v>0</v>
      </c>
    </row>
    <row r="12" spans="1:1026">
      <c r="B12" s="278">
        <v>7</v>
      </c>
      <c r="C12" s="267"/>
      <c r="D12" s="280" t="s">
        <v>485</v>
      </c>
      <c r="E12" s="280" t="s">
        <v>442</v>
      </c>
      <c r="F12" s="282" t="s">
        <v>59</v>
      </c>
      <c r="G12" s="271">
        <v>1200</v>
      </c>
      <c r="H12" s="274">
        <v>0</v>
      </c>
      <c r="I12" s="272"/>
      <c r="J12" s="272"/>
      <c r="K12" s="272"/>
      <c r="L12" s="272"/>
      <c r="M12" s="272"/>
      <c r="N12" s="304">
        <f t="shared" si="4"/>
        <v>0</v>
      </c>
      <c r="O12" s="276"/>
      <c r="P12" s="276"/>
      <c r="Q12" s="276"/>
      <c r="R12" s="276"/>
      <c r="S12" s="276"/>
      <c r="T12" s="276"/>
      <c r="U12" s="276"/>
      <c r="V12" s="276"/>
      <c r="W12" s="276"/>
      <c r="X12" s="276"/>
      <c r="Y12" s="276"/>
      <c r="Z12" s="276"/>
      <c r="AA12" s="276"/>
      <c r="AB12" s="276"/>
      <c r="AC12" s="276"/>
      <c r="AD12" s="276"/>
      <c r="AE12" s="276"/>
      <c r="AF12" s="276"/>
      <c r="AG12" s="276"/>
      <c r="AH12" s="276"/>
      <c r="AI12" s="276"/>
      <c r="AJ12" s="276"/>
      <c r="AK12" s="276"/>
      <c r="AL12" s="276"/>
      <c r="AM12" s="276"/>
      <c r="AN12" s="276"/>
      <c r="AO12" s="276"/>
      <c r="AP12" s="276"/>
      <c r="AQ12" s="276"/>
      <c r="AR12" s="276"/>
      <c r="AS12" s="276"/>
      <c r="AT12" s="305">
        <f t="shared" si="10"/>
        <v>0</v>
      </c>
      <c r="AU12" s="310">
        <f t="shared" si="11"/>
        <v>0</v>
      </c>
      <c r="AV12" s="307">
        <f t="shared" si="12"/>
        <v>0</v>
      </c>
      <c r="AW12" s="308">
        <f t="shared" si="13"/>
        <v>0</v>
      </c>
      <c r="AX12" s="308">
        <f t="shared" si="14"/>
        <v>0</v>
      </c>
      <c r="AY12" s="309"/>
      <c r="AZ12" s="309"/>
      <c r="BA12" s="308">
        <f t="shared" si="15"/>
        <v>0</v>
      </c>
    </row>
    <row r="13" spans="1:1026">
      <c r="B13" s="278">
        <v>8</v>
      </c>
      <c r="C13" s="267"/>
      <c r="D13" s="280" t="s">
        <v>482</v>
      </c>
      <c r="E13" s="280" t="s">
        <v>441</v>
      </c>
      <c r="F13" s="282" t="s">
        <v>59</v>
      </c>
      <c r="G13" s="271">
        <v>920</v>
      </c>
      <c r="H13" s="274">
        <v>0</v>
      </c>
      <c r="I13" s="272"/>
      <c r="J13" s="272"/>
      <c r="K13" s="272"/>
      <c r="L13" s="272"/>
      <c r="M13" s="272"/>
      <c r="N13" s="304">
        <f t="shared" ref="N13" si="16">SUM(H13:L13)</f>
        <v>0</v>
      </c>
      <c r="O13" s="276"/>
      <c r="P13" s="276"/>
      <c r="Q13" s="276"/>
      <c r="R13" s="276"/>
      <c r="S13" s="276"/>
      <c r="T13" s="276"/>
      <c r="U13" s="276"/>
      <c r="V13" s="276"/>
      <c r="W13" s="276"/>
      <c r="X13" s="276"/>
      <c r="Y13" s="276"/>
      <c r="Z13" s="276"/>
      <c r="AA13" s="276"/>
      <c r="AB13" s="276"/>
      <c r="AC13" s="276"/>
      <c r="AD13" s="276"/>
      <c r="AE13" s="276"/>
      <c r="AF13" s="276"/>
      <c r="AG13" s="276"/>
      <c r="AH13" s="276"/>
      <c r="AI13" s="276"/>
      <c r="AJ13" s="276"/>
      <c r="AK13" s="276"/>
      <c r="AL13" s="276"/>
      <c r="AM13" s="276"/>
      <c r="AN13" s="276"/>
      <c r="AO13" s="276"/>
      <c r="AP13" s="276"/>
      <c r="AQ13" s="276"/>
      <c r="AR13" s="276"/>
      <c r="AS13" s="276"/>
      <c r="AT13" s="305">
        <f t="shared" ref="AT13" si="17">SUM(O13:AS13)</f>
        <v>0</v>
      </c>
      <c r="AU13" s="310">
        <f t="shared" ref="AU13" si="18">N13-AT13</f>
        <v>0</v>
      </c>
      <c r="AV13" s="307">
        <f t="shared" ref="AV13" si="19">AT13*G13</f>
        <v>0</v>
      </c>
      <c r="AW13" s="308">
        <f t="shared" ref="AW13" si="20">AU13*G13</f>
        <v>0</v>
      </c>
      <c r="AX13" s="308">
        <f t="shared" ref="AX13" si="21">I13*G13</f>
        <v>0</v>
      </c>
      <c r="AY13" s="309">
        <v>9</v>
      </c>
      <c r="AZ13" s="309">
        <v>9</v>
      </c>
      <c r="BA13" s="308">
        <f t="shared" ref="BA13" si="22">AX13*SUM(AY13:AZ13)%+AX13</f>
        <v>0</v>
      </c>
    </row>
    <row r="14" spans="1:1026">
      <c r="B14" s="278">
        <v>9</v>
      </c>
      <c r="C14" s="267"/>
      <c r="D14" s="280" t="s">
        <v>483</v>
      </c>
      <c r="E14" s="280" t="s">
        <v>441</v>
      </c>
      <c r="F14" s="282" t="s">
        <v>59</v>
      </c>
      <c r="G14" s="271">
        <v>820</v>
      </c>
      <c r="H14" s="274">
        <v>0</v>
      </c>
      <c r="I14" s="272"/>
      <c r="J14" s="272"/>
      <c r="K14" s="272"/>
      <c r="L14" s="272"/>
      <c r="M14" s="272"/>
      <c r="N14" s="304">
        <f t="shared" ref="N14" si="23">SUM(H14:L14)</f>
        <v>0</v>
      </c>
      <c r="O14" s="276"/>
      <c r="P14" s="276"/>
      <c r="Q14" s="276"/>
      <c r="R14" s="276"/>
      <c r="S14" s="276"/>
      <c r="T14" s="276"/>
      <c r="U14" s="276"/>
      <c r="V14" s="276"/>
      <c r="W14" s="276"/>
      <c r="X14" s="276"/>
      <c r="Y14" s="276"/>
      <c r="Z14" s="276"/>
      <c r="AA14" s="276"/>
      <c r="AB14" s="276"/>
      <c r="AC14" s="276"/>
      <c r="AD14" s="276"/>
      <c r="AE14" s="276"/>
      <c r="AF14" s="276"/>
      <c r="AG14" s="276"/>
      <c r="AH14" s="276"/>
      <c r="AI14" s="276"/>
      <c r="AJ14" s="276"/>
      <c r="AK14" s="276"/>
      <c r="AL14" s="276"/>
      <c r="AM14" s="276"/>
      <c r="AN14" s="276"/>
      <c r="AO14" s="276"/>
      <c r="AP14" s="276"/>
      <c r="AQ14" s="276"/>
      <c r="AR14" s="276"/>
      <c r="AS14" s="276"/>
      <c r="AT14" s="305">
        <f t="shared" ref="AT14" si="24">SUM(O14:AS14)</f>
        <v>0</v>
      </c>
      <c r="AU14" s="310">
        <f t="shared" ref="AU14" si="25">N14-AT14</f>
        <v>0</v>
      </c>
      <c r="AV14" s="307">
        <f t="shared" ref="AV14" si="26">AT14*G14</f>
        <v>0</v>
      </c>
      <c r="AW14" s="308">
        <f t="shared" ref="AW14" si="27">AU14*G14</f>
        <v>0</v>
      </c>
      <c r="AX14" s="308">
        <f t="shared" ref="AX14" si="28">I14*G14</f>
        <v>0</v>
      </c>
      <c r="AY14" s="309">
        <v>9</v>
      </c>
      <c r="AZ14" s="309">
        <v>9</v>
      </c>
      <c r="BA14" s="308">
        <f t="shared" ref="BA14" si="29">AX14*SUM(AY14:AZ14)%+AX14</f>
        <v>0</v>
      </c>
    </row>
    <row r="15" spans="1:1026" s="149" customFormat="1" ht="12.75">
      <c r="B15" s="173"/>
      <c r="C15" s="175"/>
      <c r="D15" s="352" t="s">
        <v>52</v>
      </c>
      <c r="E15" s="353"/>
      <c r="F15" s="353"/>
      <c r="G15" s="354"/>
      <c r="H15" s="176">
        <f>SUM(H6:H14)</f>
        <v>8</v>
      </c>
      <c r="I15" s="176">
        <f>SUM(I6:I14)</f>
        <v>2</v>
      </c>
      <c r="J15" s="176"/>
      <c r="K15" s="176"/>
      <c r="L15" s="176"/>
      <c r="M15" s="176"/>
      <c r="N15" s="176">
        <f>SUM(N6:N14)</f>
        <v>10</v>
      </c>
      <c r="O15" s="176">
        <f t="shared" ref="O15:BA15" si="30">SUM(O6:O14)</f>
        <v>0</v>
      </c>
      <c r="P15" s="176">
        <f t="shared" si="30"/>
        <v>0</v>
      </c>
      <c r="Q15" s="176">
        <f t="shared" si="30"/>
        <v>0</v>
      </c>
      <c r="R15" s="176">
        <f t="shared" si="30"/>
        <v>1</v>
      </c>
      <c r="S15" s="176">
        <f t="shared" si="30"/>
        <v>1</v>
      </c>
      <c r="T15" s="176">
        <f t="shared" si="30"/>
        <v>0</v>
      </c>
      <c r="U15" s="176">
        <f t="shared" si="30"/>
        <v>0</v>
      </c>
      <c r="V15" s="176">
        <f t="shared" si="30"/>
        <v>0</v>
      </c>
      <c r="W15" s="176">
        <f t="shared" si="30"/>
        <v>1</v>
      </c>
      <c r="X15" s="176">
        <f t="shared" si="30"/>
        <v>0</v>
      </c>
      <c r="Y15" s="176">
        <f t="shared" si="30"/>
        <v>0</v>
      </c>
      <c r="Z15" s="176">
        <f t="shared" si="30"/>
        <v>1</v>
      </c>
      <c r="AA15" s="176">
        <f t="shared" si="30"/>
        <v>0</v>
      </c>
      <c r="AB15" s="176">
        <f t="shared" si="30"/>
        <v>0</v>
      </c>
      <c r="AC15" s="176">
        <f t="shared" si="30"/>
        <v>0</v>
      </c>
      <c r="AD15" s="176">
        <f t="shared" si="30"/>
        <v>1</v>
      </c>
      <c r="AE15" s="176">
        <f t="shared" si="30"/>
        <v>0</v>
      </c>
      <c r="AF15" s="176">
        <f t="shared" si="30"/>
        <v>0</v>
      </c>
      <c r="AG15" s="176">
        <f t="shared" si="30"/>
        <v>0</v>
      </c>
      <c r="AH15" s="176">
        <f t="shared" si="30"/>
        <v>0</v>
      </c>
      <c r="AI15" s="176">
        <f t="shared" si="30"/>
        <v>0</v>
      </c>
      <c r="AJ15" s="176">
        <f t="shared" si="30"/>
        <v>0</v>
      </c>
      <c r="AK15" s="176">
        <f t="shared" si="30"/>
        <v>0</v>
      </c>
      <c r="AL15" s="176">
        <f t="shared" si="30"/>
        <v>0</v>
      </c>
      <c r="AM15" s="176">
        <f t="shared" si="30"/>
        <v>0</v>
      </c>
      <c r="AN15" s="176">
        <f t="shared" si="30"/>
        <v>0</v>
      </c>
      <c r="AO15" s="176">
        <f t="shared" si="30"/>
        <v>0</v>
      </c>
      <c r="AP15" s="176">
        <f t="shared" si="30"/>
        <v>0</v>
      </c>
      <c r="AQ15" s="176">
        <f t="shared" si="30"/>
        <v>0</v>
      </c>
      <c r="AR15" s="176">
        <f t="shared" si="30"/>
        <v>0</v>
      </c>
      <c r="AS15" s="176">
        <f t="shared" si="30"/>
        <v>0</v>
      </c>
      <c r="AT15" s="176">
        <f t="shared" si="30"/>
        <v>5</v>
      </c>
      <c r="AU15" s="176">
        <f t="shared" si="30"/>
        <v>5</v>
      </c>
      <c r="AV15" s="176">
        <f t="shared" si="30"/>
        <v>4400</v>
      </c>
      <c r="AW15" s="176">
        <f t="shared" si="30"/>
        <v>6000</v>
      </c>
      <c r="AX15" s="176">
        <f t="shared" si="30"/>
        <v>2400</v>
      </c>
      <c r="AY15" s="176">
        <f t="shared" si="30"/>
        <v>18</v>
      </c>
      <c r="AZ15" s="176">
        <f t="shared" si="30"/>
        <v>18</v>
      </c>
      <c r="BA15" s="176">
        <f t="shared" si="30"/>
        <v>2400</v>
      </c>
    </row>
    <row r="16" spans="1:1026" s="149" customFormat="1">
      <c r="A16" s="178"/>
      <c r="D16" s="150"/>
      <c r="E16" s="150"/>
      <c r="F16" s="150"/>
      <c r="G16" s="151"/>
      <c r="H16" s="152"/>
      <c r="I16" s="151"/>
      <c r="J16" s="151"/>
      <c r="K16" s="151"/>
      <c r="L16" s="151"/>
      <c r="M16" s="151"/>
      <c r="AP16" s="153"/>
      <c r="AU16" s="151"/>
      <c r="AMJ16" s="178"/>
      <c r="AMK16" s="178"/>
      <c r="AML16" s="178"/>
    </row>
    <row r="17" spans="1:1026" s="149" customFormat="1">
      <c r="A17" s="178"/>
      <c r="D17" s="150"/>
      <c r="E17" s="150"/>
      <c r="F17" s="150"/>
      <c r="G17" s="151"/>
      <c r="H17" s="152"/>
      <c r="I17" s="151"/>
      <c r="J17" s="151"/>
      <c r="K17" s="151"/>
      <c r="L17" s="151"/>
      <c r="M17" s="151"/>
      <c r="AP17" s="153"/>
      <c r="AU17" s="151"/>
      <c r="AMJ17" s="178"/>
      <c r="AMK17" s="178"/>
      <c r="AML17" s="178"/>
    </row>
    <row r="18" spans="1:1026" s="149" customFormat="1">
      <c r="A18" s="178"/>
      <c r="D18" s="150"/>
      <c r="E18" s="150"/>
      <c r="F18" s="150"/>
      <c r="G18" s="151"/>
      <c r="H18" s="152"/>
      <c r="I18" s="151"/>
      <c r="J18" s="151"/>
      <c r="K18" s="151"/>
      <c r="L18" s="151"/>
      <c r="M18" s="151"/>
      <c r="AP18" s="153"/>
      <c r="AU18" s="151"/>
      <c r="AMJ18" s="178"/>
      <c r="AMK18" s="178"/>
      <c r="AML18" s="178"/>
    </row>
    <row r="19" spans="1:1026" s="149" customFormat="1">
      <c r="A19" s="178"/>
      <c r="C19" s="375"/>
      <c r="D19" s="375"/>
      <c r="E19" s="375"/>
      <c r="F19" s="151"/>
      <c r="G19" s="151"/>
      <c r="H19" s="151"/>
      <c r="I19" s="151"/>
      <c r="L19" s="151"/>
      <c r="M19" s="151"/>
      <c r="AP19" s="153"/>
      <c r="AU19" s="151"/>
      <c r="AMJ19" s="178"/>
      <c r="AMK19" s="178"/>
      <c r="AML19" s="178"/>
    </row>
    <row r="20" spans="1:1026" s="151" customFormat="1">
      <c r="A20" s="178"/>
      <c r="B20" s="149"/>
      <c r="C20" s="149"/>
      <c r="D20" s="150"/>
      <c r="E20" s="150"/>
      <c r="F20" s="152"/>
      <c r="G20" s="149"/>
      <c r="H20" s="150"/>
      <c r="I20" s="150"/>
      <c r="N20" s="149"/>
      <c r="O20" s="149"/>
      <c r="P20" s="149"/>
      <c r="Q20" s="149"/>
      <c r="R20" s="149"/>
      <c r="S20" s="149"/>
      <c r="T20" s="149"/>
      <c r="U20" s="149"/>
      <c r="V20" s="149"/>
      <c r="W20" s="149"/>
      <c r="X20" s="149"/>
      <c r="Y20" s="149"/>
      <c r="Z20" s="149"/>
      <c r="AA20" s="149"/>
      <c r="AB20" s="149"/>
      <c r="AC20" s="149"/>
      <c r="AD20" s="149"/>
      <c r="AE20" s="149"/>
      <c r="AF20" s="149"/>
      <c r="AG20" s="149"/>
      <c r="AH20" s="149"/>
      <c r="AI20" s="149"/>
      <c r="AJ20" s="149"/>
      <c r="AK20" s="149"/>
      <c r="AL20" s="149"/>
      <c r="AM20" s="149"/>
      <c r="AN20" s="149"/>
      <c r="AO20" s="149"/>
      <c r="AP20" s="153"/>
      <c r="AQ20" s="149"/>
      <c r="AR20" s="149"/>
      <c r="AS20" s="149"/>
      <c r="AT20" s="149"/>
      <c r="AV20" s="149"/>
      <c r="AW20" s="149"/>
      <c r="AX20" s="149"/>
      <c r="AY20" s="149"/>
      <c r="AZ20" s="149"/>
      <c r="BA20" s="149"/>
      <c r="BB20" s="149"/>
      <c r="BC20" s="149"/>
      <c r="BD20" s="149"/>
      <c r="BE20" s="149"/>
      <c r="BF20" s="149"/>
      <c r="BG20" s="149"/>
      <c r="BH20" s="149"/>
      <c r="BI20" s="149"/>
      <c r="BJ20" s="149"/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/>
      <c r="CQ20" s="149"/>
      <c r="CR20" s="149"/>
      <c r="CS20" s="149"/>
      <c r="CT20" s="149"/>
      <c r="CU20" s="149"/>
      <c r="CV20" s="149"/>
      <c r="CW20" s="149"/>
      <c r="CX20" s="149"/>
      <c r="CY20" s="149"/>
      <c r="CZ20" s="149"/>
      <c r="DA20" s="149"/>
      <c r="DB20" s="149"/>
      <c r="DC20" s="149"/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/>
      <c r="GC20" s="149"/>
      <c r="GD20" s="149"/>
      <c r="GE20" s="149"/>
      <c r="GF20" s="149"/>
      <c r="GG20" s="149"/>
      <c r="GH20" s="149"/>
      <c r="GI20" s="149"/>
      <c r="GJ20" s="149"/>
      <c r="GK20" s="149"/>
      <c r="GL20" s="149"/>
      <c r="GM20" s="149"/>
      <c r="GN20" s="149"/>
      <c r="GO20" s="149"/>
      <c r="GP20" s="149"/>
      <c r="GQ20" s="149"/>
      <c r="GR20" s="149"/>
      <c r="GS20" s="149"/>
      <c r="GT20" s="149"/>
      <c r="GU20" s="149"/>
      <c r="GV20" s="149"/>
      <c r="GW20" s="149"/>
      <c r="GX20" s="149"/>
      <c r="GY20" s="149"/>
      <c r="GZ20" s="149"/>
      <c r="HA20" s="149"/>
      <c r="HB20" s="149"/>
      <c r="HC20" s="149"/>
      <c r="HD20" s="149"/>
      <c r="HE20" s="149"/>
      <c r="HF20" s="149"/>
      <c r="HG20" s="149"/>
      <c r="HH20" s="149"/>
      <c r="HI20" s="149"/>
      <c r="HJ20" s="149"/>
      <c r="HK20" s="149"/>
      <c r="HL20" s="149"/>
      <c r="HM20" s="149"/>
      <c r="HN20" s="149"/>
      <c r="HO20" s="149"/>
      <c r="HP20" s="149"/>
      <c r="HQ20" s="149"/>
      <c r="HR20" s="149"/>
      <c r="HS20" s="149"/>
      <c r="HT20" s="149"/>
      <c r="HU20" s="149"/>
      <c r="HV20" s="149"/>
      <c r="HW20" s="149"/>
      <c r="HX20" s="149"/>
      <c r="HY20" s="149"/>
      <c r="HZ20" s="149"/>
      <c r="IA20" s="149"/>
      <c r="IB20" s="149"/>
      <c r="IC20" s="149"/>
      <c r="ID20" s="149"/>
      <c r="IE20" s="149"/>
      <c r="IF20" s="149"/>
      <c r="IG20" s="149"/>
      <c r="IH20" s="149"/>
      <c r="II20" s="149"/>
      <c r="IJ20" s="149"/>
      <c r="IK20" s="149"/>
      <c r="IL20" s="149"/>
      <c r="IM20" s="149"/>
      <c r="IN20" s="149"/>
      <c r="IO20" s="149"/>
      <c r="IP20" s="149"/>
      <c r="IQ20" s="149"/>
      <c r="IR20" s="149"/>
      <c r="IS20" s="149"/>
      <c r="IT20" s="149"/>
      <c r="IU20" s="149"/>
      <c r="IV20" s="149"/>
      <c r="IW20" s="149"/>
      <c r="IX20" s="149"/>
      <c r="IY20" s="149"/>
      <c r="IZ20" s="149"/>
      <c r="JA20" s="149"/>
      <c r="JB20" s="149"/>
      <c r="JC20" s="149"/>
      <c r="JD20" s="149"/>
      <c r="JE20" s="149"/>
      <c r="JF20" s="149"/>
      <c r="JG20" s="149"/>
      <c r="JH20" s="149"/>
      <c r="JI20" s="149"/>
      <c r="JJ20" s="149"/>
      <c r="JK20" s="149"/>
      <c r="JL20" s="149"/>
      <c r="JM20" s="149"/>
      <c r="JN20" s="149"/>
      <c r="JO20" s="149"/>
      <c r="JP20" s="149"/>
      <c r="JQ20" s="149"/>
      <c r="JR20" s="149"/>
      <c r="JS20" s="149"/>
      <c r="JT20" s="149"/>
      <c r="JU20" s="149"/>
      <c r="JV20" s="149"/>
      <c r="JW20" s="149"/>
      <c r="JX20" s="149"/>
      <c r="JY20" s="149"/>
      <c r="JZ20" s="149"/>
      <c r="KA20" s="149"/>
      <c r="KB20" s="149"/>
      <c r="KC20" s="149"/>
      <c r="KD20" s="149"/>
      <c r="KE20" s="149"/>
      <c r="KF20" s="149"/>
      <c r="KG20" s="149"/>
      <c r="KH20" s="149"/>
      <c r="KI20" s="149"/>
      <c r="KJ20" s="149"/>
      <c r="KK20" s="149"/>
      <c r="KL20" s="149"/>
      <c r="KM20" s="149"/>
      <c r="KN20" s="149"/>
      <c r="KO20" s="149"/>
      <c r="KP20" s="149"/>
      <c r="KQ20" s="149"/>
      <c r="KR20" s="149"/>
      <c r="KS20" s="149"/>
      <c r="KT20" s="149"/>
      <c r="KU20" s="149"/>
      <c r="KV20" s="149"/>
      <c r="KW20" s="149"/>
      <c r="KX20" s="149"/>
      <c r="KY20" s="149"/>
      <c r="KZ20" s="149"/>
      <c r="LA20" s="149"/>
      <c r="LB20" s="149"/>
      <c r="LC20" s="149"/>
      <c r="LD20" s="149"/>
      <c r="LE20" s="149"/>
      <c r="LF20" s="149"/>
      <c r="LG20" s="149"/>
      <c r="LH20" s="149"/>
      <c r="LI20" s="149"/>
      <c r="LJ20" s="149"/>
      <c r="LK20" s="149"/>
      <c r="LL20" s="149"/>
      <c r="LM20" s="149"/>
      <c r="LN20" s="149"/>
      <c r="LO20" s="149"/>
      <c r="LP20" s="149"/>
      <c r="LQ20" s="149"/>
      <c r="LR20" s="149"/>
      <c r="LS20" s="149"/>
      <c r="LT20" s="149"/>
      <c r="LU20" s="149"/>
      <c r="LV20" s="149"/>
      <c r="LW20" s="149"/>
      <c r="LX20" s="149"/>
      <c r="LY20" s="149"/>
      <c r="LZ20" s="149"/>
      <c r="MA20" s="149"/>
      <c r="MB20" s="149"/>
      <c r="MC20" s="149"/>
      <c r="MD20" s="149"/>
      <c r="ME20" s="149"/>
      <c r="MF20" s="149"/>
      <c r="MG20" s="149"/>
      <c r="MH20" s="149"/>
      <c r="MI20" s="149"/>
      <c r="MJ20" s="149"/>
      <c r="MK20" s="149"/>
      <c r="ML20" s="149"/>
      <c r="MM20" s="149"/>
      <c r="MN20" s="149"/>
      <c r="MO20" s="149"/>
      <c r="MP20" s="149"/>
      <c r="MQ20" s="149"/>
      <c r="MR20" s="149"/>
      <c r="MS20" s="149"/>
      <c r="MT20" s="149"/>
      <c r="MU20" s="149"/>
      <c r="MV20" s="149"/>
      <c r="MW20" s="149"/>
      <c r="MX20" s="149"/>
      <c r="MY20" s="149"/>
      <c r="MZ20" s="149"/>
      <c r="NA20" s="149"/>
      <c r="NB20" s="149"/>
      <c r="NC20" s="149"/>
      <c r="ND20" s="149"/>
      <c r="NE20" s="149"/>
      <c r="NF20" s="149"/>
      <c r="NG20" s="149"/>
      <c r="NH20" s="149"/>
      <c r="NI20" s="149"/>
      <c r="NJ20" s="149"/>
      <c r="NK20" s="149"/>
      <c r="NL20" s="149"/>
      <c r="NM20" s="149"/>
      <c r="NN20" s="149"/>
      <c r="NO20" s="149"/>
      <c r="NP20" s="149"/>
      <c r="NQ20" s="149"/>
      <c r="NR20" s="149"/>
      <c r="NS20" s="149"/>
      <c r="NT20" s="149"/>
      <c r="NU20" s="149"/>
      <c r="NV20" s="149"/>
      <c r="NW20" s="149"/>
      <c r="NX20" s="149"/>
      <c r="NY20" s="149"/>
      <c r="NZ20" s="149"/>
      <c r="OA20" s="149"/>
      <c r="OB20" s="149"/>
      <c r="OC20" s="149"/>
      <c r="OD20" s="149"/>
      <c r="OE20" s="149"/>
      <c r="OF20" s="149"/>
      <c r="OG20" s="149"/>
      <c r="OH20" s="149"/>
      <c r="OI20" s="149"/>
      <c r="OJ20" s="149"/>
      <c r="OK20" s="149"/>
      <c r="OL20" s="149"/>
      <c r="OM20" s="149"/>
      <c r="ON20" s="149"/>
      <c r="OO20" s="149"/>
      <c r="OP20" s="149"/>
      <c r="OQ20" s="149"/>
      <c r="OR20" s="149"/>
      <c r="OS20" s="149"/>
      <c r="OT20" s="149"/>
      <c r="OU20" s="149"/>
      <c r="OV20" s="149"/>
      <c r="OW20" s="149"/>
      <c r="OX20" s="149"/>
      <c r="OY20" s="149"/>
      <c r="OZ20" s="149"/>
      <c r="PA20" s="149"/>
      <c r="PB20" s="149"/>
      <c r="PC20" s="149"/>
      <c r="PD20" s="149"/>
      <c r="PE20" s="149"/>
      <c r="PF20" s="149"/>
      <c r="PG20" s="149"/>
      <c r="PH20" s="149"/>
      <c r="PI20" s="149"/>
      <c r="PJ20" s="149"/>
      <c r="PK20" s="149"/>
      <c r="PL20" s="149"/>
      <c r="PM20" s="149"/>
      <c r="PN20" s="149"/>
      <c r="PO20" s="149"/>
      <c r="PP20" s="149"/>
      <c r="PQ20" s="149"/>
      <c r="PR20" s="149"/>
      <c r="PS20" s="149"/>
      <c r="PT20" s="149"/>
      <c r="PU20" s="149"/>
      <c r="PV20" s="149"/>
      <c r="PW20" s="149"/>
      <c r="PX20" s="149"/>
      <c r="PY20" s="149"/>
      <c r="PZ20" s="149"/>
      <c r="QA20" s="149"/>
      <c r="QB20" s="149"/>
      <c r="QC20" s="149"/>
      <c r="QD20" s="149"/>
      <c r="QE20" s="149"/>
      <c r="QF20" s="149"/>
      <c r="QG20" s="149"/>
      <c r="QH20" s="149"/>
      <c r="QI20" s="149"/>
      <c r="QJ20" s="149"/>
      <c r="QK20" s="149"/>
      <c r="QL20" s="149"/>
      <c r="QM20" s="149"/>
      <c r="QN20" s="149"/>
      <c r="QO20" s="149"/>
      <c r="QP20" s="149"/>
      <c r="QQ20" s="149"/>
      <c r="QR20" s="149"/>
      <c r="QS20" s="149"/>
      <c r="QT20" s="149"/>
      <c r="QU20" s="149"/>
      <c r="QV20" s="149"/>
      <c r="QW20" s="149"/>
      <c r="QX20" s="149"/>
      <c r="QY20" s="149"/>
      <c r="QZ20" s="149"/>
      <c r="RA20" s="149"/>
      <c r="RB20" s="149"/>
      <c r="RC20" s="149"/>
      <c r="RD20" s="149"/>
      <c r="RE20" s="149"/>
      <c r="RF20" s="149"/>
      <c r="RG20" s="149"/>
      <c r="RH20" s="149"/>
      <c r="RI20" s="149"/>
      <c r="RJ20" s="149"/>
      <c r="RK20" s="149"/>
      <c r="RL20" s="149"/>
      <c r="RM20" s="149"/>
      <c r="RN20" s="149"/>
      <c r="RO20" s="149"/>
      <c r="RP20" s="149"/>
      <c r="RQ20" s="149"/>
      <c r="RR20" s="149"/>
      <c r="RS20" s="149"/>
      <c r="RT20" s="149"/>
      <c r="RU20" s="149"/>
      <c r="RV20" s="149"/>
      <c r="RW20" s="149"/>
      <c r="RX20" s="149"/>
      <c r="RY20" s="149"/>
      <c r="RZ20" s="149"/>
      <c r="SA20" s="149"/>
      <c r="SB20" s="149"/>
      <c r="SC20" s="149"/>
      <c r="SD20" s="149"/>
      <c r="SE20" s="149"/>
      <c r="SF20" s="149"/>
      <c r="SG20" s="149"/>
      <c r="SH20" s="149"/>
      <c r="SI20" s="149"/>
      <c r="SJ20" s="149"/>
      <c r="SK20" s="149"/>
      <c r="SL20" s="149"/>
      <c r="SM20" s="149"/>
      <c r="SN20" s="149"/>
      <c r="SO20" s="149"/>
      <c r="SP20" s="149"/>
      <c r="SQ20" s="149"/>
      <c r="SR20" s="149"/>
      <c r="SS20" s="149"/>
      <c r="ST20" s="149"/>
      <c r="SU20" s="149"/>
      <c r="SV20" s="149"/>
      <c r="SW20" s="149"/>
      <c r="SX20" s="149"/>
      <c r="SY20" s="149"/>
      <c r="SZ20" s="149"/>
      <c r="TA20" s="149"/>
      <c r="TB20" s="149"/>
      <c r="TC20" s="149"/>
      <c r="TD20" s="149"/>
      <c r="TE20" s="149"/>
      <c r="TF20" s="149"/>
      <c r="TG20" s="149"/>
      <c r="TH20" s="149"/>
      <c r="TI20" s="149"/>
      <c r="TJ20" s="149"/>
      <c r="TK20" s="149"/>
      <c r="TL20" s="149"/>
      <c r="TM20" s="149"/>
      <c r="TN20" s="149"/>
      <c r="TO20" s="149"/>
      <c r="TP20" s="149"/>
      <c r="TQ20" s="149"/>
      <c r="TR20" s="149"/>
      <c r="TS20" s="149"/>
      <c r="TT20" s="149"/>
      <c r="TU20" s="149"/>
      <c r="TV20" s="149"/>
      <c r="TW20" s="149"/>
      <c r="TX20" s="149"/>
      <c r="TY20" s="149"/>
      <c r="TZ20" s="149"/>
      <c r="UA20" s="149"/>
      <c r="UB20" s="149"/>
      <c r="UC20" s="149"/>
      <c r="UD20" s="149"/>
      <c r="UE20" s="149"/>
      <c r="UF20" s="149"/>
      <c r="UG20" s="149"/>
      <c r="UH20" s="149"/>
      <c r="UI20" s="149"/>
      <c r="UJ20" s="149"/>
      <c r="UK20" s="149"/>
      <c r="UL20" s="149"/>
      <c r="UM20" s="149"/>
      <c r="UN20" s="149"/>
      <c r="UO20" s="149"/>
      <c r="UP20" s="149"/>
      <c r="UQ20" s="149"/>
      <c r="UR20" s="149"/>
      <c r="US20" s="149"/>
      <c r="UT20" s="149"/>
      <c r="UU20" s="149"/>
      <c r="UV20" s="149"/>
      <c r="UW20" s="149"/>
      <c r="UX20" s="149"/>
      <c r="UY20" s="149"/>
      <c r="UZ20" s="149"/>
      <c r="VA20" s="149"/>
      <c r="VB20" s="149"/>
      <c r="VC20" s="149"/>
      <c r="VD20" s="149"/>
      <c r="VE20" s="149"/>
      <c r="VF20" s="149"/>
      <c r="VG20" s="149"/>
      <c r="VH20" s="149"/>
      <c r="VI20" s="149"/>
      <c r="VJ20" s="149"/>
      <c r="VK20" s="149"/>
      <c r="VL20" s="149"/>
      <c r="VM20" s="149"/>
      <c r="VN20" s="149"/>
      <c r="VO20" s="149"/>
      <c r="VP20" s="149"/>
      <c r="VQ20" s="149"/>
      <c r="VR20" s="149"/>
      <c r="VS20" s="149"/>
      <c r="VT20" s="149"/>
      <c r="VU20" s="149"/>
      <c r="VV20" s="149"/>
      <c r="VW20" s="149"/>
      <c r="VX20" s="149"/>
      <c r="VY20" s="149"/>
      <c r="VZ20" s="149"/>
      <c r="WA20" s="149"/>
      <c r="WB20" s="149"/>
      <c r="WC20" s="149"/>
      <c r="WD20" s="149"/>
      <c r="WE20" s="149"/>
      <c r="WF20" s="149"/>
      <c r="WG20" s="149"/>
      <c r="WH20" s="149"/>
      <c r="WI20" s="149"/>
      <c r="WJ20" s="149"/>
      <c r="WK20" s="149"/>
      <c r="WL20" s="149"/>
      <c r="WM20" s="149"/>
      <c r="WN20" s="149"/>
      <c r="WO20" s="149"/>
      <c r="WP20" s="149"/>
      <c r="WQ20" s="149"/>
      <c r="WR20" s="149"/>
      <c r="WS20" s="149"/>
      <c r="WT20" s="149"/>
      <c r="WU20" s="149"/>
      <c r="WV20" s="149"/>
      <c r="WW20" s="149"/>
      <c r="WX20" s="149"/>
      <c r="WY20" s="149"/>
      <c r="WZ20" s="149"/>
      <c r="XA20" s="149"/>
      <c r="XB20" s="149"/>
      <c r="XC20" s="149"/>
      <c r="XD20" s="149"/>
      <c r="XE20" s="149"/>
      <c r="XF20" s="149"/>
      <c r="XG20" s="149"/>
      <c r="XH20" s="149"/>
      <c r="XI20" s="149"/>
      <c r="XJ20" s="149"/>
      <c r="XK20" s="149"/>
      <c r="XL20" s="149"/>
      <c r="XM20" s="149"/>
      <c r="XN20" s="149"/>
      <c r="XO20" s="149"/>
      <c r="XP20" s="149"/>
      <c r="XQ20" s="149"/>
      <c r="XR20" s="149"/>
      <c r="XS20" s="149"/>
      <c r="XT20" s="149"/>
      <c r="XU20" s="149"/>
      <c r="XV20" s="149"/>
      <c r="XW20" s="149"/>
      <c r="XX20" s="149"/>
      <c r="XY20" s="149"/>
      <c r="XZ20" s="149"/>
      <c r="YA20" s="149"/>
      <c r="YB20" s="149"/>
      <c r="YC20" s="149"/>
      <c r="YD20" s="149"/>
      <c r="YE20" s="149"/>
      <c r="YF20" s="149"/>
      <c r="YG20" s="149"/>
      <c r="YH20" s="149"/>
      <c r="YI20" s="149"/>
      <c r="YJ20" s="149"/>
      <c r="YK20" s="149"/>
      <c r="YL20" s="149"/>
      <c r="YM20" s="149"/>
      <c r="YN20" s="149"/>
      <c r="YO20" s="149"/>
      <c r="YP20" s="149"/>
      <c r="YQ20" s="149"/>
      <c r="YR20" s="149"/>
      <c r="YS20" s="149"/>
      <c r="YT20" s="149"/>
      <c r="YU20" s="149"/>
      <c r="YV20" s="149"/>
      <c r="YW20" s="149"/>
      <c r="YX20" s="149"/>
      <c r="YY20" s="149"/>
      <c r="YZ20" s="149"/>
      <c r="ZA20" s="149"/>
      <c r="ZB20" s="149"/>
      <c r="ZC20" s="149"/>
      <c r="ZD20" s="149"/>
      <c r="ZE20" s="149"/>
      <c r="ZF20" s="149"/>
      <c r="ZG20" s="149"/>
      <c r="ZH20" s="149"/>
      <c r="ZI20" s="149"/>
      <c r="ZJ20" s="149"/>
      <c r="ZK20" s="149"/>
      <c r="ZL20" s="149"/>
      <c r="ZM20" s="149"/>
      <c r="ZN20" s="149"/>
      <c r="ZO20" s="149"/>
      <c r="ZP20" s="149"/>
      <c r="ZQ20" s="149"/>
      <c r="ZR20" s="149"/>
      <c r="ZS20" s="149"/>
      <c r="ZT20" s="149"/>
      <c r="ZU20" s="149"/>
      <c r="ZV20" s="149"/>
      <c r="ZW20" s="149"/>
      <c r="ZX20" s="149"/>
      <c r="ZY20" s="149"/>
      <c r="ZZ20" s="149"/>
      <c r="AAA20" s="149"/>
      <c r="AAB20" s="149"/>
      <c r="AAC20" s="149"/>
      <c r="AAD20" s="149"/>
      <c r="AAE20" s="149"/>
      <c r="AAF20" s="149"/>
      <c r="AAG20" s="149"/>
      <c r="AAH20" s="149"/>
      <c r="AAI20" s="149"/>
      <c r="AAJ20" s="149"/>
      <c r="AAK20" s="149"/>
      <c r="AAL20" s="149"/>
      <c r="AAM20" s="149"/>
      <c r="AAN20" s="149"/>
      <c r="AAO20" s="149"/>
      <c r="AAP20" s="149"/>
      <c r="AAQ20" s="149"/>
      <c r="AAR20" s="149"/>
      <c r="AAS20" s="149"/>
      <c r="AAT20" s="149"/>
      <c r="AAU20" s="149"/>
      <c r="AAV20" s="149"/>
      <c r="AAW20" s="149"/>
      <c r="AAX20" s="149"/>
      <c r="AAY20" s="149"/>
      <c r="AAZ20" s="149"/>
      <c r="ABA20" s="149"/>
      <c r="ABB20" s="149"/>
      <c r="ABC20" s="149"/>
      <c r="ABD20" s="149"/>
      <c r="ABE20" s="149"/>
      <c r="ABF20" s="149"/>
      <c r="ABG20" s="149"/>
      <c r="ABH20" s="149"/>
      <c r="ABI20" s="149"/>
      <c r="ABJ20" s="149"/>
      <c r="ABK20" s="149"/>
      <c r="ABL20" s="149"/>
      <c r="ABM20" s="149"/>
      <c r="ABN20" s="149"/>
      <c r="ABO20" s="149"/>
      <c r="ABP20" s="149"/>
      <c r="ABQ20" s="149"/>
      <c r="ABR20" s="149"/>
      <c r="ABS20" s="149"/>
      <c r="ABT20" s="149"/>
      <c r="ABU20" s="149"/>
      <c r="ABV20" s="149"/>
      <c r="ABW20" s="149"/>
      <c r="ABX20" s="149"/>
      <c r="ABY20" s="149"/>
      <c r="ABZ20" s="149"/>
      <c r="ACA20" s="149"/>
      <c r="ACB20" s="149"/>
      <c r="ACC20" s="149"/>
      <c r="ACD20" s="149"/>
      <c r="ACE20" s="149"/>
      <c r="ACF20" s="149"/>
      <c r="ACG20" s="149"/>
      <c r="ACH20" s="149"/>
      <c r="ACI20" s="149"/>
      <c r="ACJ20" s="149"/>
      <c r="ACK20" s="149"/>
      <c r="ACL20" s="149"/>
      <c r="ACM20" s="149"/>
      <c r="ACN20" s="149"/>
      <c r="ACO20" s="149"/>
      <c r="ACP20" s="149"/>
      <c r="ACQ20" s="149"/>
      <c r="ACR20" s="149"/>
      <c r="ACS20" s="149"/>
      <c r="ACT20" s="149"/>
      <c r="ACU20" s="149"/>
      <c r="ACV20" s="149"/>
      <c r="ACW20" s="149"/>
      <c r="ACX20" s="149"/>
      <c r="ACY20" s="149"/>
      <c r="ACZ20" s="149"/>
      <c r="ADA20" s="149"/>
      <c r="ADB20" s="149"/>
      <c r="ADC20" s="149"/>
      <c r="ADD20" s="149"/>
      <c r="ADE20" s="149"/>
      <c r="ADF20" s="149"/>
      <c r="ADG20" s="149"/>
      <c r="ADH20" s="149"/>
      <c r="ADI20" s="149"/>
      <c r="ADJ20" s="149"/>
      <c r="ADK20" s="149"/>
      <c r="ADL20" s="149"/>
      <c r="ADM20" s="149"/>
      <c r="ADN20" s="149"/>
      <c r="ADO20" s="149"/>
      <c r="ADP20" s="149"/>
      <c r="ADQ20" s="149"/>
      <c r="ADR20" s="149"/>
      <c r="ADS20" s="149"/>
      <c r="ADT20" s="149"/>
      <c r="ADU20" s="149"/>
      <c r="ADV20" s="149"/>
      <c r="ADW20" s="149"/>
      <c r="ADX20" s="149"/>
      <c r="ADY20" s="149"/>
      <c r="ADZ20" s="149"/>
      <c r="AEA20" s="149"/>
      <c r="AEB20" s="149"/>
      <c r="AEC20" s="149"/>
      <c r="AED20" s="149"/>
      <c r="AEE20" s="149"/>
      <c r="AEF20" s="149"/>
      <c r="AEG20" s="149"/>
      <c r="AEH20" s="149"/>
      <c r="AEI20" s="149"/>
      <c r="AEJ20" s="149"/>
      <c r="AEK20" s="149"/>
      <c r="AEL20" s="149"/>
      <c r="AEM20" s="149"/>
      <c r="AEN20" s="149"/>
      <c r="AEO20" s="149"/>
      <c r="AEP20" s="149"/>
      <c r="AEQ20" s="149"/>
      <c r="AER20" s="149"/>
      <c r="AES20" s="149"/>
      <c r="AET20" s="149"/>
      <c r="AEU20" s="149"/>
      <c r="AEV20" s="149"/>
      <c r="AEW20" s="149"/>
      <c r="AEX20" s="149"/>
      <c r="AEY20" s="149"/>
      <c r="AEZ20" s="149"/>
      <c r="AFA20" s="149"/>
      <c r="AFB20" s="149"/>
      <c r="AFC20" s="149"/>
      <c r="AFD20" s="149"/>
      <c r="AFE20" s="149"/>
      <c r="AFF20" s="149"/>
      <c r="AFG20" s="149"/>
      <c r="AFH20" s="149"/>
      <c r="AFI20" s="149"/>
      <c r="AFJ20" s="149"/>
      <c r="AFK20" s="149"/>
      <c r="AFL20" s="149"/>
      <c r="AFM20" s="149"/>
      <c r="AFN20" s="149"/>
      <c r="AFO20" s="149"/>
      <c r="AFP20" s="149"/>
      <c r="AFQ20" s="149"/>
      <c r="AFR20" s="149"/>
      <c r="AFS20" s="149"/>
      <c r="AFT20" s="149"/>
      <c r="AFU20" s="149"/>
      <c r="AFV20" s="149"/>
      <c r="AFW20" s="149"/>
      <c r="AFX20" s="149"/>
      <c r="AFY20" s="149"/>
      <c r="AFZ20" s="149"/>
      <c r="AGA20" s="149"/>
      <c r="AGB20" s="149"/>
      <c r="AGC20" s="149"/>
      <c r="AGD20" s="149"/>
      <c r="AGE20" s="149"/>
      <c r="AGF20" s="149"/>
      <c r="AGG20" s="149"/>
      <c r="AGH20" s="149"/>
      <c r="AGI20" s="149"/>
      <c r="AGJ20" s="149"/>
      <c r="AGK20" s="149"/>
      <c r="AGL20" s="149"/>
      <c r="AGM20" s="149"/>
      <c r="AGN20" s="149"/>
      <c r="AGO20" s="149"/>
      <c r="AGP20" s="149"/>
      <c r="AGQ20" s="149"/>
      <c r="AGR20" s="149"/>
      <c r="AGS20" s="149"/>
      <c r="AGT20" s="149"/>
      <c r="AGU20" s="149"/>
      <c r="AGV20" s="149"/>
      <c r="AGW20" s="149"/>
      <c r="AGX20" s="149"/>
      <c r="AGY20" s="149"/>
      <c r="AGZ20" s="149"/>
      <c r="AHA20" s="149"/>
      <c r="AHB20" s="149"/>
      <c r="AHC20" s="149"/>
      <c r="AHD20" s="149"/>
      <c r="AHE20" s="149"/>
      <c r="AHF20" s="149"/>
      <c r="AHG20" s="149"/>
      <c r="AHH20" s="149"/>
      <c r="AHI20" s="149"/>
      <c r="AHJ20" s="149"/>
      <c r="AHK20" s="149"/>
      <c r="AHL20" s="149"/>
      <c r="AHM20" s="149"/>
      <c r="AHN20" s="149"/>
      <c r="AHO20" s="149"/>
      <c r="AHP20" s="149"/>
      <c r="AHQ20" s="149"/>
      <c r="AHR20" s="149"/>
      <c r="AHS20" s="149"/>
      <c r="AHT20" s="149"/>
      <c r="AHU20" s="149"/>
      <c r="AHV20" s="149"/>
      <c r="AHW20" s="149"/>
      <c r="AHX20" s="149"/>
      <c r="AHY20" s="149"/>
      <c r="AHZ20" s="149"/>
      <c r="AIA20" s="149"/>
      <c r="AIB20" s="149"/>
      <c r="AIC20" s="149"/>
      <c r="AID20" s="149"/>
      <c r="AIE20" s="149"/>
      <c r="AIF20" s="149"/>
      <c r="AIG20" s="149"/>
      <c r="AIH20" s="149"/>
      <c r="AII20" s="149"/>
      <c r="AIJ20" s="149"/>
      <c r="AIK20" s="149"/>
      <c r="AIL20" s="149"/>
      <c r="AIM20" s="149"/>
      <c r="AIN20" s="149"/>
      <c r="AIO20" s="149"/>
      <c r="AIP20" s="149"/>
      <c r="AIQ20" s="149"/>
      <c r="AIR20" s="149"/>
      <c r="AIS20" s="149"/>
      <c r="AIT20" s="149"/>
      <c r="AIU20" s="149"/>
      <c r="AIV20" s="149"/>
      <c r="AIW20" s="149"/>
      <c r="AIX20" s="149"/>
      <c r="AIY20" s="149"/>
      <c r="AIZ20" s="149"/>
      <c r="AJA20" s="149"/>
      <c r="AJB20" s="149"/>
      <c r="AJC20" s="149"/>
      <c r="AJD20" s="149"/>
      <c r="AJE20" s="149"/>
      <c r="AJF20" s="149"/>
      <c r="AJG20" s="149"/>
      <c r="AJH20" s="149"/>
      <c r="AJI20" s="149"/>
      <c r="AJJ20" s="149"/>
      <c r="AJK20" s="149"/>
      <c r="AJL20" s="149"/>
      <c r="AJM20" s="149"/>
      <c r="AJN20" s="149"/>
      <c r="AJO20" s="149"/>
      <c r="AJP20" s="149"/>
      <c r="AJQ20" s="149"/>
      <c r="AJR20" s="149"/>
      <c r="AJS20" s="149"/>
      <c r="AJT20" s="149"/>
      <c r="AJU20" s="149"/>
      <c r="AJV20" s="149"/>
      <c r="AJW20" s="149"/>
      <c r="AJX20" s="149"/>
      <c r="AJY20" s="149"/>
      <c r="AJZ20" s="149"/>
      <c r="AKA20" s="149"/>
      <c r="AKB20" s="149"/>
      <c r="AKC20" s="149"/>
      <c r="AKD20" s="149"/>
      <c r="AKE20" s="149"/>
      <c r="AKF20" s="149"/>
      <c r="AKG20" s="149"/>
      <c r="AKH20" s="149"/>
      <c r="AKI20" s="149"/>
      <c r="AKJ20" s="149"/>
      <c r="AKK20" s="149"/>
      <c r="AKL20" s="149"/>
      <c r="AKM20" s="149"/>
      <c r="AKN20" s="149"/>
      <c r="AKO20" s="149"/>
      <c r="AKP20" s="149"/>
      <c r="AKQ20" s="149"/>
      <c r="AKR20" s="149"/>
      <c r="AKS20" s="149"/>
      <c r="AKT20" s="149"/>
      <c r="AKU20" s="149"/>
      <c r="AKV20" s="149"/>
      <c r="AKW20" s="149"/>
      <c r="AKX20" s="149"/>
      <c r="AKY20" s="149"/>
      <c r="AKZ20" s="149"/>
      <c r="ALA20" s="149"/>
      <c r="ALB20" s="149"/>
      <c r="ALC20" s="149"/>
      <c r="ALD20" s="149"/>
      <c r="ALE20" s="149"/>
      <c r="ALF20" s="149"/>
      <c r="ALG20" s="149"/>
      <c r="ALH20" s="149"/>
      <c r="ALI20" s="149"/>
      <c r="ALJ20" s="149"/>
      <c r="ALK20" s="149"/>
      <c r="ALL20" s="149"/>
      <c r="ALM20" s="149"/>
      <c r="ALN20" s="149"/>
      <c r="ALO20" s="149"/>
      <c r="ALP20" s="149"/>
      <c r="ALQ20" s="149"/>
      <c r="ALR20" s="149"/>
      <c r="ALS20" s="149"/>
      <c r="ALT20" s="149"/>
      <c r="ALU20" s="149"/>
      <c r="ALV20" s="149"/>
      <c r="ALW20" s="149"/>
      <c r="ALX20" s="149"/>
      <c r="ALY20" s="149"/>
      <c r="ALZ20" s="149"/>
      <c r="AMA20" s="149"/>
      <c r="AMB20" s="149"/>
      <c r="AMC20" s="149"/>
      <c r="AMD20" s="149"/>
      <c r="AME20" s="149"/>
      <c r="AMF20" s="149"/>
      <c r="AMG20" s="149"/>
      <c r="AMH20" s="149"/>
      <c r="AMI20" s="149"/>
      <c r="AMJ20" s="178"/>
      <c r="AMK20" s="178"/>
      <c r="AML20" s="178"/>
    </row>
  </sheetData>
  <sheetProtection password="CF7A" sheet="1" insertRows="0"/>
  <customSheetViews>
    <customSheetView guid="{5E113600-004F-4409-A088-DFECFF9BC96A}" showGridLines="0" hiddenColumns="1">
      <pane xSplit="14" ySplit="5" topLeftCell="AD6" activePane="bottomRight" state="frozen"/>
      <selection pane="bottomRight" activeCell="H8" sqref="H8"/>
      <pageMargins left="0.7" right="0.7" top="0.75" bottom="0.75" header="0.51180555555555496" footer="0.51180555555555496"/>
      <pageSetup paperSize="9" firstPageNumber="0" orientation="portrait" horizontalDpi="300" verticalDpi="300" r:id="rId1"/>
    </customSheetView>
    <customSheetView guid="{1F97382E-80B0-473D-874E-BD5E60D01A4B}" showGridLines="0" hiddenColumns="1">
      <pane xSplit="14" ySplit="5" topLeftCell="AD6" activePane="bottomRight" state="frozen"/>
      <selection pane="bottomRight" activeCell="H8" sqref="H8"/>
      <pageMargins left="0.7" right="0.7" top="0.75" bottom="0.75" header="0.51180555555555496" footer="0.51180555555555496"/>
      <pageSetup paperSize="9" firstPageNumber="0" orientation="portrait" horizontalDpi="300" verticalDpi="300" r:id="rId2"/>
    </customSheetView>
    <customSheetView guid="{7663FDEA-AE2F-416B-8123-1D493B6639C0}" showGridLines="0" hiddenColumns="1">
      <pane xSplit="14" ySplit="5" topLeftCell="AD6" activePane="bottomRight" state="frozen"/>
      <selection pane="bottomRight" activeCell="H8" sqref="H8"/>
      <pageMargins left="0.7" right="0.7" top="0.75" bottom="0.75" header="0.51180555555555496" footer="0.51180555555555496"/>
      <pageSetup paperSize="9" firstPageNumber="0" orientation="portrait" horizontalDpi="300" verticalDpi="300" r:id="rId3"/>
    </customSheetView>
    <customSheetView guid="{C287C8AD-6E2E-4D5F-930B-C18EF9030790}" showGridLines="0" hiddenColumns="1">
      <pane xSplit="14" ySplit="5" topLeftCell="AD6" activePane="bottomRight" state="frozen"/>
      <selection pane="bottomRight" activeCell="H8" sqref="H8"/>
      <pageMargins left="0.7" right="0.7" top="0.75" bottom="0.75" header="0.51180555555555496" footer="0.51180555555555496"/>
      <pageSetup paperSize="9" firstPageNumber="0" orientation="portrait" horizontalDpi="300" verticalDpi="300" r:id="rId4"/>
    </customSheetView>
  </customSheetViews>
  <mergeCells count="3">
    <mergeCell ref="B2:N2"/>
    <mergeCell ref="D15:G15"/>
    <mergeCell ref="C19:E19"/>
  </mergeCells>
  <conditionalFormatting sqref="B4:M4 O4:AS4">
    <cfRule type="containsText" dxfId="1294" priority="6" operator="containsText" text="sat"/>
    <cfRule type="containsText" dxfId="1293" priority="7" operator="containsText" text="sun"/>
  </conditionalFormatting>
  <conditionalFormatting sqref="D6:E6">
    <cfRule type="duplicateValues" priority="1"/>
    <cfRule type="duplicateValues" priority="2"/>
    <cfRule type="duplicateValues" priority="3"/>
    <cfRule type="duplicateValues" priority="4"/>
  </conditionalFormatting>
  <conditionalFormatting sqref="D7:E14">
    <cfRule type="duplicateValues" priority="1274"/>
    <cfRule type="duplicateValues" priority="1275"/>
    <cfRule type="duplicateValues" priority="1276"/>
    <cfRule type="duplicateValues" priority="1277"/>
  </conditionalFormatting>
  <conditionalFormatting sqref="AT1:AX14 BA1:BA14 N1:N1048576 O15:BA15 AT16:AX1048576 BA16:BA1048576">
    <cfRule type="cellIs" dxfId="1292" priority="5" operator="lessThan">
      <formula>0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AD54"/>
  <sheetViews>
    <sheetView showGridLines="0" zoomScaleNormal="100" workbookViewId="0">
      <pane xSplit="2" ySplit="4" topLeftCell="C17" activePane="bottomRight" state="frozen"/>
      <selection pane="topRight" activeCell="C1" sqref="C1"/>
      <selection pane="bottomLeft" activeCell="A5" sqref="A5"/>
      <selection pane="bottomRight" activeCell="C22" sqref="C22"/>
    </sheetView>
  </sheetViews>
  <sheetFormatPr defaultColWidth="0" defaultRowHeight="0" customHeight="1" zeroHeight="1"/>
  <cols>
    <col min="1" max="1" width="4.85546875" style="235" bestFit="1" customWidth="1"/>
    <col min="2" max="2" width="11" style="207" customWidth="1"/>
    <col min="3" max="3" width="14.5703125" style="207" customWidth="1"/>
    <col min="4" max="4" width="12.5703125" style="207" customWidth="1"/>
    <col min="5" max="5" width="13.85546875" style="207" customWidth="1"/>
    <col min="6" max="6" width="12.140625" style="207" customWidth="1"/>
    <col min="7" max="7" width="12" style="236" customWidth="1"/>
    <col min="8" max="8" width="13.5703125" style="207" customWidth="1"/>
    <col min="9" max="9" width="12.28515625" style="207" customWidth="1"/>
    <col min="10" max="10" width="12.85546875" style="207" customWidth="1"/>
    <col min="11" max="11" width="14.7109375" style="237" customWidth="1"/>
    <col min="12" max="14" width="4" style="207" customWidth="1"/>
    <col min="15" max="15" width="4" style="207" hidden="1" customWidth="1"/>
    <col min="16" max="16" width="3.85546875" style="207" hidden="1" customWidth="1"/>
    <col min="17" max="17" width="3.42578125" style="207" hidden="1" customWidth="1"/>
    <col min="18" max="30" width="0" style="207" hidden="1" customWidth="1"/>
    <col min="31" max="16384" width="4" style="207" hidden="1"/>
  </cols>
  <sheetData>
    <row r="1" spans="1:11" ht="18" customHeight="1" thickBot="1">
      <c r="A1" s="378"/>
      <c r="B1" s="379"/>
      <c r="C1" s="379"/>
      <c r="D1" s="379"/>
      <c r="E1" s="379"/>
      <c r="F1" s="379"/>
      <c r="G1" s="379"/>
      <c r="H1" s="379"/>
      <c r="I1" s="379"/>
      <c r="J1" s="379"/>
      <c r="K1" s="380"/>
    </row>
    <row r="2" spans="1:11" ht="23.25" customHeight="1" thickBot="1">
      <c r="A2" s="362" t="str">
        <f>Summary!R5&amp;" Water  Report " &amp;  TEXT(Summary!R4,"MMMM-YYY")</f>
        <v>SOC Water  Report February-2026</v>
      </c>
      <c r="B2" s="363"/>
      <c r="C2" s="363"/>
      <c r="D2" s="363"/>
      <c r="E2" s="363"/>
      <c r="F2" s="363"/>
      <c r="G2" s="363"/>
      <c r="H2" s="363"/>
      <c r="I2" s="363"/>
      <c r="J2" s="363"/>
      <c r="K2" s="364"/>
    </row>
    <row r="3" spans="1:11" ht="18" customHeight="1">
      <c r="A3" s="208" t="s">
        <v>1</v>
      </c>
      <c r="B3" s="209">
        <v>35</v>
      </c>
      <c r="C3" s="210"/>
      <c r="D3" s="210"/>
      <c r="E3" s="210"/>
      <c r="F3" s="166" t="s">
        <v>258</v>
      </c>
      <c r="G3" s="166" t="s">
        <v>258</v>
      </c>
      <c r="H3" s="166" t="s">
        <v>258</v>
      </c>
      <c r="I3" s="210"/>
      <c r="J3" s="166" t="s">
        <v>258</v>
      </c>
      <c r="K3" s="211"/>
    </row>
    <row r="4" spans="1:11" ht="35.25" customHeight="1">
      <c r="A4" s="208" t="s">
        <v>0</v>
      </c>
      <c r="B4" s="209" t="s">
        <v>3</v>
      </c>
      <c r="C4" s="209" t="s">
        <v>167</v>
      </c>
      <c r="D4" s="209" t="s">
        <v>168</v>
      </c>
      <c r="E4" s="209" t="s">
        <v>169</v>
      </c>
      <c r="F4" s="212" t="s">
        <v>9</v>
      </c>
      <c r="G4" s="209" t="s">
        <v>170</v>
      </c>
      <c r="H4" s="209" t="s">
        <v>4</v>
      </c>
      <c r="I4" s="209" t="s">
        <v>53</v>
      </c>
      <c r="J4" s="209" t="s">
        <v>65</v>
      </c>
      <c r="K4" s="213"/>
    </row>
    <row r="5" spans="1:11" ht="18" customHeight="1">
      <c r="A5" s="214" t="str">
        <f>TEXT(B5,"DDD")</f>
        <v>Sun</v>
      </c>
      <c r="B5" s="215">
        <f>Summary!R4</f>
        <v>46054</v>
      </c>
      <c r="C5" s="283">
        <v>10</v>
      </c>
      <c r="D5" s="283">
        <v>0</v>
      </c>
      <c r="E5" s="283">
        <v>0</v>
      </c>
      <c r="F5" s="216">
        <f t="shared" ref="F5:F34" si="0">D5+C5</f>
        <v>10</v>
      </c>
      <c r="G5" s="216">
        <f>F5-C6</f>
        <v>0</v>
      </c>
      <c r="H5" s="216">
        <f>G5*$B$3</f>
        <v>0</v>
      </c>
      <c r="I5" s="217">
        <v>300</v>
      </c>
      <c r="J5" s="216" t="e">
        <f>I5/H5</f>
        <v>#DIV/0!</v>
      </c>
      <c r="K5" s="213"/>
    </row>
    <row r="6" spans="1:11" ht="18" customHeight="1">
      <c r="A6" s="214" t="str">
        <f t="shared" ref="A6:A35" si="1">TEXT(B6,"DDD")</f>
        <v>Mon</v>
      </c>
      <c r="B6" s="215">
        <f>B5+1</f>
        <v>46055</v>
      </c>
      <c r="C6" s="283">
        <v>10</v>
      </c>
      <c r="D6" s="283">
        <v>30</v>
      </c>
      <c r="E6" s="283">
        <v>0</v>
      </c>
      <c r="F6" s="216">
        <f>D6+C6</f>
        <v>40</v>
      </c>
      <c r="G6" s="216">
        <f t="shared" ref="G6:G34" si="2">F6-C7</f>
        <v>24</v>
      </c>
      <c r="H6" s="216">
        <f t="shared" ref="H6:H34" si="3">G6*$B$3</f>
        <v>840</v>
      </c>
      <c r="I6" s="217">
        <v>300</v>
      </c>
      <c r="J6" s="216">
        <f t="shared" ref="J6:J35" si="4">I6/H6</f>
        <v>0.35714285714285715</v>
      </c>
      <c r="K6" s="213"/>
    </row>
    <row r="7" spans="1:11" ht="18" customHeight="1">
      <c r="A7" s="214" t="str">
        <f t="shared" si="1"/>
        <v>Tue</v>
      </c>
      <c r="B7" s="215">
        <f t="shared" ref="B7:B35" si="5">B6+1</f>
        <v>46056</v>
      </c>
      <c r="C7" s="283">
        <v>16</v>
      </c>
      <c r="D7" s="283">
        <v>18</v>
      </c>
      <c r="E7" s="283">
        <v>43</v>
      </c>
      <c r="F7" s="216">
        <f t="shared" si="0"/>
        <v>34</v>
      </c>
      <c r="G7" s="216">
        <f t="shared" si="2"/>
        <v>17</v>
      </c>
      <c r="H7" s="216">
        <f t="shared" si="3"/>
        <v>595</v>
      </c>
      <c r="I7" s="217">
        <v>300</v>
      </c>
      <c r="J7" s="216">
        <f t="shared" si="4"/>
        <v>0.50420168067226889</v>
      </c>
      <c r="K7" s="213"/>
    </row>
    <row r="8" spans="1:11" ht="18" customHeight="1">
      <c r="A8" s="214" t="str">
        <f t="shared" si="1"/>
        <v>Wed</v>
      </c>
      <c r="B8" s="215">
        <f t="shared" si="5"/>
        <v>46057</v>
      </c>
      <c r="C8" s="283">
        <v>17</v>
      </c>
      <c r="D8" s="283">
        <v>19</v>
      </c>
      <c r="E8" s="283">
        <v>22</v>
      </c>
      <c r="F8" s="216">
        <f t="shared" si="0"/>
        <v>36</v>
      </c>
      <c r="G8" s="216">
        <f t="shared" si="2"/>
        <v>22</v>
      </c>
      <c r="H8" s="216">
        <f t="shared" si="3"/>
        <v>770</v>
      </c>
      <c r="I8" s="217">
        <v>300</v>
      </c>
      <c r="J8" s="216">
        <f t="shared" si="4"/>
        <v>0.38961038961038963</v>
      </c>
      <c r="K8" s="213"/>
    </row>
    <row r="9" spans="1:11" ht="18" customHeight="1">
      <c r="A9" s="214" t="str">
        <f t="shared" si="1"/>
        <v>Thu</v>
      </c>
      <c r="B9" s="215">
        <f t="shared" si="5"/>
        <v>46058</v>
      </c>
      <c r="C9" s="283">
        <v>14</v>
      </c>
      <c r="D9" s="283">
        <v>18</v>
      </c>
      <c r="E9" s="283">
        <v>18</v>
      </c>
      <c r="F9" s="216">
        <f>D9+C9</f>
        <v>32</v>
      </c>
      <c r="G9" s="216">
        <f t="shared" si="2"/>
        <v>24</v>
      </c>
      <c r="H9" s="216">
        <f t="shared" si="3"/>
        <v>840</v>
      </c>
      <c r="I9" s="217">
        <v>300</v>
      </c>
      <c r="J9" s="216">
        <f t="shared" si="4"/>
        <v>0.35714285714285715</v>
      </c>
      <c r="K9" s="213"/>
    </row>
    <row r="10" spans="1:11" ht="18" customHeight="1">
      <c r="A10" s="214" t="str">
        <f t="shared" si="1"/>
        <v>Fri</v>
      </c>
      <c r="B10" s="215">
        <f t="shared" si="5"/>
        <v>46059</v>
      </c>
      <c r="C10" s="283">
        <v>8</v>
      </c>
      <c r="D10" s="283">
        <v>30</v>
      </c>
      <c r="E10" s="283">
        <v>26</v>
      </c>
      <c r="F10" s="216">
        <f>D10+C10</f>
        <v>38</v>
      </c>
      <c r="G10" s="216">
        <f t="shared" si="2"/>
        <v>18</v>
      </c>
      <c r="H10" s="216">
        <f t="shared" si="3"/>
        <v>630</v>
      </c>
      <c r="I10" s="217">
        <v>5</v>
      </c>
      <c r="J10" s="216">
        <f t="shared" si="4"/>
        <v>7.9365079365079361E-3</v>
      </c>
      <c r="K10" s="213"/>
    </row>
    <row r="11" spans="1:11" ht="18" customHeight="1">
      <c r="A11" s="214" t="str">
        <f t="shared" si="1"/>
        <v>Sat</v>
      </c>
      <c r="B11" s="215">
        <f t="shared" si="5"/>
        <v>46060</v>
      </c>
      <c r="C11" s="283">
        <v>20</v>
      </c>
      <c r="D11" s="283">
        <v>0</v>
      </c>
      <c r="E11" s="283">
        <v>0</v>
      </c>
      <c r="F11" s="216">
        <f t="shared" si="0"/>
        <v>20</v>
      </c>
      <c r="G11" s="216">
        <f t="shared" si="2"/>
        <v>2</v>
      </c>
      <c r="H11" s="216">
        <f t="shared" si="3"/>
        <v>70</v>
      </c>
      <c r="I11" s="217">
        <v>5</v>
      </c>
      <c r="J11" s="216">
        <f t="shared" si="4"/>
        <v>7.1428571428571425E-2</v>
      </c>
      <c r="K11" s="213"/>
    </row>
    <row r="12" spans="1:11" ht="18" customHeight="1">
      <c r="A12" s="214" t="str">
        <f t="shared" si="1"/>
        <v>Sun</v>
      </c>
      <c r="B12" s="215">
        <f t="shared" si="5"/>
        <v>46061</v>
      </c>
      <c r="C12" s="283">
        <v>18</v>
      </c>
      <c r="D12" s="283">
        <v>10</v>
      </c>
      <c r="E12" s="283">
        <v>0</v>
      </c>
      <c r="F12" s="216">
        <f t="shared" si="0"/>
        <v>28</v>
      </c>
      <c r="G12" s="216">
        <f t="shared" si="2"/>
        <v>3</v>
      </c>
      <c r="H12" s="216">
        <f t="shared" si="3"/>
        <v>105</v>
      </c>
      <c r="I12" s="217">
        <v>300</v>
      </c>
      <c r="J12" s="216">
        <f t="shared" si="4"/>
        <v>2.8571428571428572</v>
      </c>
      <c r="K12" s="213"/>
    </row>
    <row r="13" spans="1:11" ht="18" customHeight="1">
      <c r="A13" s="214" t="str">
        <f t="shared" si="1"/>
        <v>Mon</v>
      </c>
      <c r="B13" s="215">
        <f t="shared" si="5"/>
        <v>46062</v>
      </c>
      <c r="C13" s="283">
        <v>25</v>
      </c>
      <c r="D13" s="283">
        <v>8</v>
      </c>
      <c r="E13" s="283">
        <v>15</v>
      </c>
      <c r="F13" s="216">
        <f t="shared" si="0"/>
        <v>33</v>
      </c>
      <c r="G13" s="216">
        <f t="shared" si="2"/>
        <v>24</v>
      </c>
      <c r="H13" s="216">
        <f t="shared" si="3"/>
        <v>840</v>
      </c>
      <c r="I13" s="217">
        <v>300</v>
      </c>
      <c r="J13" s="216">
        <f t="shared" si="4"/>
        <v>0.35714285714285715</v>
      </c>
      <c r="K13" s="213"/>
    </row>
    <row r="14" spans="1:11" ht="18" customHeight="1">
      <c r="A14" s="214" t="str">
        <f t="shared" si="1"/>
        <v>Tue</v>
      </c>
      <c r="B14" s="215">
        <f t="shared" si="5"/>
        <v>46063</v>
      </c>
      <c r="C14" s="283">
        <v>9</v>
      </c>
      <c r="D14" s="283">
        <v>30</v>
      </c>
      <c r="E14" s="283">
        <v>35</v>
      </c>
      <c r="F14" s="216">
        <f t="shared" si="0"/>
        <v>39</v>
      </c>
      <c r="G14" s="216">
        <f t="shared" si="2"/>
        <v>19</v>
      </c>
      <c r="H14" s="216">
        <f t="shared" si="3"/>
        <v>665</v>
      </c>
      <c r="I14" s="217">
        <v>300</v>
      </c>
      <c r="J14" s="216">
        <f t="shared" si="4"/>
        <v>0.45112781954887216</v>
      </c>
      <c r="K14" s="213"/>
    </row>
    <row r="15" spans="1:11" ht="18" customHeight="1">
      <c r="A15" s="214" t="str">
        <f t="shared" si="1"/>
        <v>Wed</v>
      </c>
      <c r="B15" s="215">
        <f t="shared" si="5"/>
        <v>46064</v>
      </c>
      <c r="C15" s="283">
        <v>20</v>
      </c>
      <c r="D15" s="283">
        <v>15</v>
      </c>
      <c r="E15" s="283">
        <v>0</v>
      </c>
      <c r="F15" s="216">
        <f t="shared" si="0"/>
        <v>35</v>
      </c>
      <c r="G15" s="216">
        <f t="shared" si="2"/>
        <v>22</v>
      </c>
      <c r="H15" s="216">
        <f t="shared" si="3"/>
        <v>770</v>
      </c>
      <c r="I15" s="217">
        <v>300</v>
      </c>
      <c r="J15" s="216">
        <f t="shared" si="4"/>
        <v>0.38961038961038963</v>
      </c>
      <c r="K15" s="213"/>
    </row>
    <row r="16" spans="1:11" ht="18" customHeight="1">
      <c r="A16" s="214" t="str">
        <f t="shared" si="1"/>
        <v>Thu</v>
      </c>
      <c r="B16" s="215">
        <f t="shared" si="5"/>
        <v>46065</v>
      </c>
      <c r="C16" s="283">
        <v>13</v>
      </c>
      <c r="D16" s="283">
        <v>16</v>
      </c>
      <c r="E16" s="283">
        <v>36</v>
      </c>
      <c r="F16" s="216">
        <f t="shared" si="0"/>
        <v>29</v>
      </c>
      <c r="G16" s="216">
        <f t="shared" si="2"/>
        <v>19</v>
      </c>
      <c r="H16" s="216">
        <f t="shared" si="3"/>
        <v>665</v>
      </c>
      <c r="I16" s="217">
        <v>300</v>
      </c>
      <c r="J16" s="216">
        <f t="shared" si="4"/>
        <v>0.45112781954887216</v>
      </c>
      <c r="K16" s="213"/>
    </row>
    <row r="17" spans="1:30" ht="18" customHeight="1">
      <c r="A17" s="214" t="str">
        <f t="shared" si="1"/>
        <v>Fri</v>
      </c>
      <c r="B17" s="215">
        <f t="shared" si="5"/>
        <v>46066</v>
      </c>
      <c r="C17" s="283">
        <v>10</v>
      </c>
      <c r="D17" s="283">
        <v>15</v>
      </c>
      <c r="E17" s="283">
        <v>23</v>
      </c>
      <c r="F17" s="216">
        <f t="shared" si="0"/>
        <v>25</v>
      </c>
      <c r="G17" s="216">
        <f t="shared" si="2"/>
        <v>22</v>
      </c>
      <c r="H17" s="216">
        <f t="shared" si="3"/>
        <v>770</v>
      </c>
      <c r="I17" s="217">
        <v>5</v>
      </c>
      <c r="J17" s="216">
        <f t="shared" si="4"/>
        <v>6.4935064935064939E-3</v>
      </c>
      <c r="K17" s="213"/>
    </row>
    <row r="18" spans="1:30" ht="17.25" customHeight="1">
      <c r="A18" s="214" t="str">
        <f t="shared" si="1"/>
        <v>Sat</v>
      </c>
      <c r="B18" s="215">
        <f t="shared" si="5"/>
        <v>46067</v>
      </c>
      <c r="C18" s="283">
        <v>3</v>
      </c>
      <c r="D18" s="283">
        <v>0</v>
      </c>
      <c r="E18" s="283">
        <v>0</v>
      </c>
      <c r="F18" s="216">
        <f t="shared" si="0"/>
        <v>3</v>
      </c>
      <c r="G18" s="216">
        <f t="shared" si="2"/>
        <v>2</v>
      </c>
      <c r="H18" s="216">
        <f t="shared" si="3"/>
        <v>70</v>
      </c>
      <c r="I18" s="217">
        <v>5</v>
      </c>
      <c r="J18" s="216">
        <f t="shared" si="4"/>
        <v>7.1428571428571425E-2</v>
      </c>
      <c r="K18" s="213"/>
    </row>
    <row r="19" spans="1:30" ht="17.25" customHeight="1">
      <c r="A19" s="214" t="str">
        <f t="shared" si="1"/>
        <v>Sun</v>
      </c>
      <c r="B19" s="215">
        <f t="shared" si="5"/>
        <v>46068</v>
      </c>
      <c r="C19" s="283">
        <v>1</v>
      </c>
      <c r="D19" s="283">
        <v>0</v>
      </c>
      <c r="E19" s="283">
        <v>0</v>
      </c>
      <c r="F19" s="216">
        <f t="shared" si="0"/>
        <v>1</v>
      </c>
      <c r="G19" s="216">
        <f t="shared" si="2"/>
        <v>1</v>
      </c>
      <c r="H19" s="216">
        <f t="shared" si="3"/>
        <v>35</v>
      </c>
      <c r="I19" s="217">
        <v>300</v>
      </c>
      <c r="J19" s="216">
        <f t="shared" si="4"/>
        <v>8.5714285714285712</v>
      </c>
      <c r="K19" s="213"/>
    </row>
    <row r="20" spans="1:30" ht="17.25" customHeight="1">
      <c r="A20" s="214" t="str">
        <f t="shared" si="1"/>
        <v>Mon</v>
      </c>
      <c r="B20" s="215">
        <f t="shared" si="5"/>
        <v>46069</v>
      </c>
      <c r="C20" s="283">
        <v>0</v>
      </c>
      <c r="D20" s="283">
        <v>50</v>
      </c>
      <c r="E20" s="283">
        <v>24</v>
      </c>
      <c r="F20" s="216">
        <f t="shared" si="0"/>
        <v>50</v>
      </c>
      <c r="G20" s="216">
        <f t="shared" si="2"/>
        <v>23</v>
      </c>
      <c r="H20" s="216">
        <f t="shared" si="3"/>
        <v>805</v>
      </c>
      <c r="I20" s="217">
        <v>300</v>
      </c>
      <c r="J20" s="216">
        <f t="shared" si="4"/>
        <v>0.37267080745341613</v>
      </c>
      <c r="K20" s="213"/>
    </row>
    <row r="21" spans="1:30" ht="17.25" customHeight="1">
      <c r="A21" s="214" t="str">
        <f t="shared" si="1"/>
        <v>Tue</v>
      </c>
      <c r="B21" s="215">
        <f t="shared" si="5"/>
        <v>46070</v>
      </c>
      <c r="C21" s="283">
        <v>27</v>
      </c>
      <c r="D21" s="283">
        <v>0</v>
      </c>
      <c r="E21" s="283">
        <v>23</v>
      </c>
      <c r="F21" s="216">
        <f t="shared" si="0"/>
        <v>27</v>
      </c>
      <c r="G21" s="216">
        <f t="shared" si="2"/>
        <v>24</v>
      </c>
      <c r="H21" s="216">
        <f t="shared" si="3"/>
        <v>840</v>
      </c>
      <c r="I21" s="217">
        <v>300</v>
      </c>
      <c r="J21" s="216">
        <f t="shared" si="4"/>
        <v>0.35714285714285715</v>
      </c>
      <c r="K21" s="213"/>
    </row>
    <row r="22" spans="1:30" ht="17.25" customHeight="1">
      <c r="A22" s="214" t="str">
        <f t="shared" si="1"/>
        <v>Wed</v>
      </c>
      <c r="B22" s="215">
        <f t="shared" si="5"/>
        <v>46071</v>
      </c>
      <c r="C22" s="283">
        <v>3</v>
      </c>
      <c r="D22" s="283"/>
      <c r="E22" s="283"/>
      <c r="F22" s="216">
        <f t="shared" si="0"/>
        <v>3</v>
      </c>
      <c r="G22" s="216">
        <f t="shared" si="2"/>
        <v>3</v>
      </c>
      <c r="H22" s="216">
        <f t="shared" si="3"/>
        <v>105</v>
      </c>
      <c r="I22" s="217">
        <v>300</v>
      </c>
      <c r="J22" s="216">
        <f t="shared" si="4"/>
        <v>2.8571428571428572</v>
      </c>
      <c r="K22" s="213"/>
    </row>
    <row r="23" spans="1:30" ht="17.25" customHeight="1">
      <c r="A23" s="214" t="str">
        <f t="shared" si="1"/>
        <v>Thu</v>
      </c>
      <c r="B23" s="215">
        <f t="shared" si="5"/>
        <v>46072</v>
      </c>
      <c r="C23" s="283"/>
      <c r="D23" s="283"/>
      <c r="E23" s="283"/>
      <c r="F23" s="216">
        <f t="shared" si="0"/>
        <v>0</v>
      </c>
      <c r="G23" s="216">
        <f t="shared" si="2"/>
        <v>0</v>
      </c>
      <c r="H23" s="216">
        <f t="shared" si="3"/>
        <v>0</v>
      </c>
      <c r="I23" s="217">
        <v>300</v>
      </c>
      <c r="J23" s="216" t="e">
        <f t="shared" si="4"/>
        <v>#DIV/0!</v>
      </c>
      <c r="K23" s="213"/>
    </row>
    <row r="24" spans="1:30" ht="17.25" customHeight="1">
      <c r="A24" s="214" t="str">
        <f t="shared" si="1"/>
        <v>Fri</v>
      </c>
      <c r="B24" s="215">
        <f t="shared" si="5"/>
        <v>46073</v>
      </c>
      <c r="C24" s="283"/>
      <c r="D24" s="283"/>
      <c r="E24" s="283"/>
      <c r="F24" s="216">
        <f t="shared" si="0"/>
        <v>0</v>
      </c>
      <c r="G24" s="216">
        <f t="shared" si="2"/>
        <v>0</v>
      </c>
      <c r="H24" s="216">
        <f t="shared" si="3"/>
        <v>0</v>
      </c>
      <c r="I24" s="217">
        <v>5</v>
      </c>
      <c r="J24" s="216" t="e">
        <f t="shared" si="4"/>
        <v>#DIV/0!</v>
      </c>
      <c r="K24" s="213"/>
    </row>
    <row r="25" spans="1:30" ht="17.25" customHeight="1">
      <c r="A25" s="214" t="str">
        <f t="shared" si="1"/>
        <v>Sat</v>
      </c>
      <c r="B25" s="215">
        <f t="shared" si="5"/>
        <v>46074</v>
      </c>
      <c r="C25" s="283"/>
      <c r="D25" s="283"/>
      <c r="E25" s="283"/>
      <c r="F25" s="216">
        <f t="shared" si="0"/>
        <v>0</v>
      </c>
      <c r="G25" s="216">
        <f t="shared" si="2"/>
        <v>0</v>
      </c>
      <c r="H25" s="216">
        <f t="shared" si="3"/>
        <v>0</v>
      </c>
      <c r="I25" s="217">
        <v>5</v>
      </c>
      <c r="J25" s="216" t="e">
        <f t="shared" si="4"/>
        <v>#DIV/0!</v>
      </c>
      <c r="K25" s="213"/>
    </row>
    <row r="26" spans="1:30" ht="17.25" customHeight="1">
      <c r="A26" s="214" t="str">
        <f t="shared" si="1"/>
        <v>Sun</v>
      </c>
      <c r="B26" s="215">
        <f t="shared" si="5"/>
        <v>46075</v>
      </c>
      <c r="C26" s="283"/>
      <c r="D26" s="283"/>
      <c r="E26" s="283"/>
      <c r="F26" s="216">
        <f t="shared" si="0"/>
        <v>0</v>
      </c>
      <c r="G26" s="216">
        <f t="shared" si="2"/>
        <v>0</v>
      </c>
      <c r="H26" s="216">
        <f t="shared" si="3"/>
        <v>0</v>
      </c>
      <c r="I26" s="217">
        <v>300</v>
      </c>
      <c r="J26" s="216" t="e">
        <f t="shared" si="4"/>
        <v>#DIV/0!</v>
      </c>
      <c r="K26" s="213"/>
    </row>
    <row r="27" spans="1:30" ht="17.25" customHeight="1">
      <c r="A27" s="214" t="str">
        <f t="shared" si="1"/>
        <v>Mon</v>
      </c>
      <c r="B27" s="215">
        <f t="shared" si="5"/>
        <v>46076</v>
      </c>
      <c r="C27" s="283"/>
      <c r="D27" s="283"/>
      <c r="E27" s="283"/>
      <c r="F27" s="216">
        <f t="shared" si="0"/>
        <v>0</v>
      </c>
      <c r="G27" s="216">
        <f t="shared" si="2"/>
        <v>0</v>
      </c>
      <c r="H27" s="216">
        <f t="shared" si="3"/>
        <v>0</v>
      </c>
      <c r="I27" s="217">
        <v>300</v>
      </c>
      <c r="J27" s="216" t="e">
        <f t="shared" si="4"/>
        <v>#DIV/0!</v>
      </c>
      <c r="K27" s="213"/>
    </row>
    <row r="28" spans="1:30" ht="17.25" customHeight="1">
      <c r="A28" s="214" t="str">
        <f t="shared" si="1"/>
        <v>Tue</v>
      </c>
      <c r="B28" s="215">
        <f t="shared" si="5"/>
        <v>46077</v>
      </c>
      <c r="C28" s="283"/>
      <c r="D28" s="283"/>
      <c r="E28" s="283"/>
      <c r="F28" s="216">
        <f t="shared" si="0"/>
        <v>0</v>
      </c>
      <c r="G28" s="216">
        <f t="shared" si="2"/>
        <v>0</v>
      </c>
      <c r="H28" s="216">
        <f t="shared" si="3"/>
        <v>0</v>
      </c>
      <c r="I28" s="217">
        <v>300</v>
      </c>
      <c r="J28" s="216" t="e">
        <f t="shared" si="4"/>
        <v>#DIV/0!</v>
      </c>
      <c r="K28" s="213"/>
    </row>
    <row r="29" spans="1:30" ht="17.25" customHeight="1">
      <c r="A29" s="214" t="str">
        <f t="shared" si="1"/>
        <v>Wed</v>
      </c>
      <c r="B29" s="215">
        <f t="shared" si="5"/>
        <v>46078</v>
      </c>
      <c r="C29" s="283"/>
      <c r="D29" s="283"/>
      <c r="E29" s="283"/>
      <c r="F29" s="216">
        <f t="shared" si="0"/>
        <v>0</v>
      </c>
      <c r="G29" s="216">
        <f t="shared" si="2"/>
        <v>0</v>
      </c>
      <c r="H29" s="216">
        <f t="shared" si="3"/>
        <v>0</v>
      </c>
      <c r="I29" s="217">
        <v>300</v>
      </c>
      <c r="J29" s="216" t="e">
        <f t="shared" si="4"/>
        <v>#DIV/0!</v>
      </c>
      <c r="K29" s="213"/>
      <c r="X29" s="381"/>
      <c r="Y29" s="381"/>
      <c r="Z29" s="381"/>
      <c r="AA29" s="381"/>
      <c r="AB29" s="381"/>
      <c r="AC29" s="381"/>
      <c r="AD29" s="381"/>
    </row>
    <row r="30" spans="1:30" ht="17.25" customHeight="1">
      <c r="A30" s="214" t="str">
        <f t="shared" si="1"/>
        <v>Thu</v>
      </c>
      <c r="B30" s="215">
        <f t="shared" si="5"/>
        <v>46079</v>
      </c>
      <c r="C30" s="283"/>
      <c r="D30" s="283"/>
      <c r="E30" s="283"/>
      <c r="F30" s="216">
        <f t="shared" si="0"/>
        <v>0</v>
      </c>
      <c r="G30" s="216">
        <f t="shared" si="2"/>
        <v>0</v>
      </c>
      <c r="H30" s="216">
        <f t="shared" si="3"/>
        <v>0</v>
      </c>
      <c r="I30" s="217">
        <v>300</v>
      </c>
      <c r="J30" s="216" t="e">
        <f t="shared" si="4"/>
        <v>#DIV/0!</v>
      </c>
      <c r="K30" s="213"/>
    </row>
    <row r="31" spans="1:30" ht="17.25" customHeight="1">
      <c r="A31" s="214" t="str">
        <f t="shared" si="1"/>
        <v>Fri</v>
      </c>
      <c r="B31" s="215">
        <f t="shared" si="5"/>
        <v>46080</v>
      </c>
      <c r="C31" s="283"/>
      <c r="D31" s="283"/>
      <c r="E31" s="283"/>
      <c r="F31" s="216">
        <f t="shared" si="0"/>
        <v>0</v>
      </c>
      <c r="G31" s="216">
        <f t="shared" si="2"/>
        <v>0</v>
      </c>
      <c r="H31" s="216">
        <f t="shared" si="3"/>
        <v>0</v>
      </c>
      <c r="I31" s="217">
        <v>5</v>
      </c>
      <c r="J31" s="216" t="e">
        <f t="shared" si="4"/>
        <v>#DIV/0!</v>
      </c>
      <c r="K31" s="213"/>
    </row>
    <row r="32" spans="1:30" ht="17.25" customHeight="1">
      <c r="A32" s="214" t="str">
        <f t="shared" si="1"/>
        <v>Sat</v>
      </c>
      <c r="B32" s="215">
        <f t="shared" si="5"/>
        <v>46081</v>
      </c>
      <c r="C32" s="283"/>
      <c r="D32" s="283"/>
      <c r="E32" s="283"/>
      <c r="F32" s="216">
        <f t="shared" si="0"/>
        <v>0</v>
      </c>
      <c r="G32" s="216">
        <f t="shared" si="2"/>
        <v>0</v>
      </c>
      <c r="H32" s="216">
        <f t="shared" si="3"/>
        <v>0</v>
      </c>
      <c r="I32" s="217">
        <v>5</v>
      </c>
      <c r="J32" s="216" t="e">
        <f t="shared" si="4"/>
        <v>#DIV/0!</v>
      </c>
      <c r="K32" s="213"/>
    </row>
    <row r="33" spans="1:11" ht="17.25" customHeight="1">
      <c r="A33" s="214" t="str">
        <f t="shared" si="1"/>
        <v>Sun</v>
      </c>
      <c r="B33" s="215">
        <f t="shared" si="5"/>
        <v>46082</v>
      </c>
      <c r="C33" s="283"/>
      <c r="D33" s="283"/>
      <c r="E33" s="283"/>
      <c r="F33" s="216">
        <f t="shared" si="0"/>
        <v>0</v>
      </c>
      <c r="G33" s="216">
        <f t="shared" si="2"/>
        <v>0</v>
      </c>
      <c r="H33" s="216">
        <f t="shared" si="3"/>
        <v>0</v>
      </c>
      <c r="I33" s="217">
        <v>300</v>
      </c>
      <c r="J33" s="216" t="e">
        <f t="shared" si="4"/>
        <v>#DIV/0!</v>
      </c>
      <c r="K33" s="213"/>
    </row>
    <row r="34" spans="1:11" ht="17.25" customHeight="1">
      <c r="A34" s="214" t="str">
        <f t="shared" si="1"/>
        <v>Mon</v>
      </c>
      <c r="B34" s="215">
        <f t="shared" si="5"/>
        <v>46083</v>
      </c>
      <c r="C34" s="283"/>
      <c r="D34" s="283"/>
      <c r="E34" s="283"/>
      <c r="F34" s="216">
        <f t="shared" si="0"/>
        <v>0</v>
      </c>
      <c r="G34" s="216">
        <f t="shared" si="2"/>
        <v>0</v>
      </c>
      <c r="H34" s="216">
        <f t="shared" si="3"/>
        <v>0</v>
      </c>
      <c r="I34" s="217">
        <v>300</v>
      </c>
      <c r="J34" s="216" t="e">
        <f t="shared" si="4"/>
        <v>#DIV/0!</v>
      </c>
      <c r="K34" s="213"/>
    </row>
    <row r="35" spans="1:11" ht="17.25" customHeight="1">
      <c r="A35" s="214" t="str">
        <f t="shared" si="1"/>
        <v>Tue</v>
      </c>
      <c r="B35" s="215">
        <f t="shared" si="5"/>
        <v>46084</v>
      </c>
      <c r="C35" s="283"/>
      <c r="D35" s="283"/>
      <c r="E35" s="283"/>
      <c r="F35" s="216">
        <f>D35+C35</f>
        <v>0</v>
      </c>
      <c r="G35" s="216">
        <v>0</v>
      </c>
      <c r="H35" s="216">
        <f>G35*$B$3</f>
        <v>0</v>
      </c>
      <c r="I35" s="217">
        <v>300</v>
      </c>
      <c r="J35" s="216" t="e">
        <f t="shared" si="4"/>
        <v>#DIV/0!</v>
      </c>
      <c r="K35" s="213"/>
    </row>
    <row r="36" spans="1:11" ht="18" customHeight="1">
      <c r="A36" s="218"/>
      <c r="B36" s="219"/>
      <c r="C36" s="220">
        <f>SUM(C5:C35)</f>
        <v>224</v>
      </c>
      <c r="D36" s="220">
        <f>SUM(D5:D35)</f>
        <v>259</v>
      </c>
      <c r="E36" s="220">
        <f>SUM(E5:E35)</f>
        <v>265</v>
      </c>
      <c r="F36" s="221">
        <f>SUM(F5:F35)</f>
        <v>483</v>
      </c>
      <c r="G36" s="221">
        <f>SUM(G5:G35)</f>
        <v>269</v>
      </c>
      <c r="H36" s="222">
        <f>G36*35</f>
        <v>9415</v>
      </c>
      <c r="I36" s="222"/>
      <c r="J36" s="223"/>
      <c r="K36" s="213"/>
    </row>
    <row r="37" spans="1:11" ht="18" customHeight="1">
      <c r="A37" s="382"/>
      <c r="B37" s="383"/>
      <c r="C37" s="383"/>
      <c r="D37" s="383"/>
      <c r="E37" s="383"/>
      <c r="F37" s="383"/>
      <c r="G37" s="381"/>
      <c r="H37" s="383"/>
      <c r="I37" s="383"/>
      <c r="J37" s="383"/>
      <c r="K37" s="387"/>
    </row>
    <row r="38" spans="1:11" ht="18" customHeight="1" thickBot="1">
      <c r="A38" s="384"/>
      <c r="B38" s="381"/>
      <c r="C38" s="381"/>
      <c r="D38" s="381"/>
      <c r="E38" s="381"/>
      <c r="F38" s="381"/>
      <c r="G38" s="381"/>
      <c r="H38" s="381"/>
      <c r="I38" s="381"/>
      <c r="J38" s="381"/>
      <c r="K38" s="388"/>
    </row>
    <row r="39" spans="1:11" ht="18" customHeight="1" thickBot="1">
      <c r="A39" s="384"/>
      <c r="B39" s="381"/>
      <c r="C39" s="224" t="s">
        <v>7</v>
      </c>
      <c r="D39" s="225" t="s">
        <v>171</v>
      </c>
      <c r="E39" s="226" t="s">
        <v>2</v>
      </c>
      <c r="F39" s="384"/>
      <c r="G39" s="389" t="s">
        <v>172</v>
      </c>
      <c r="H39" s="390"/>
      <c r="I39" s="390"/>
      <c r="J39" s="391"/>
      <c r="K39" s="392"/>
    </row>
    <row r="40" spans="1:11" ht="18" customHeight="1" thickBot="1">
      <c r="A40" s="384"/>
      <c r="B40" s="381"/>
      <c r="C40" s="227" t="s">
        <v>168</v>
      </c>
      <c r="D40" s="228">
        <f>D36</f>
        <v>259</v>
      </c>
      <c r="E40" s="229">
        <f>D40*35</f>
        <v>9065</v>
      </c>
      <c r="F40" s="384"/>
      <c r="G40" s="230" t="s">
        <v>51</v>
      </c>
      <c r="H40" s="231" t="s">
        <v>168</v>
      </c>
      <c r="I40" s="231" t="s">
        <v>173</v>
      </c>
      <c r="J40" s="232" t="s">
        <v>174</v>
      </c>
      <c r="K40" s="392"/>
    </row>
    <row r="41" spans="1:11" ht="18" customHeight="1">
      <c r="A41" s="384"/>
      <c r="B41" s="381"/>
      <c r="C41" s="227" t="s">
        <v>175</v>
      </c>
      <c r="D41" s="233">
        <v>0.06</v>
      </c>
      <c r="E41" s="229">
        <f>E40*D41</f>
        <v>543.9</v>
      </c>
      <c r="F41" s="384"/>
      <c r="G41" s="228">
        <f>C5</f>
        <v>10</v>
      </c>
      <c r="H41" s="228">
        <f>D36</f>
        <v>259</v>
      </c>
      <c r="I41" s="238">
        <f>G36</f>
        <v>269</v>
      </c>
      <c r="J41" s="239">
        <f>G41+H41-I41</f>
        <v>0</v>
      </c>
      <c r="K41" s="392"/>
    </row>
    <row r="42" spans="1:11" ht="18" customHeight="1">
      <c r="A42" s="384"/>
      <c r="B42" s="381"/>
      <c r="C42" s="227" t="s">
        <v>176</v>
      </c>
      <c r="D42" s="233">
        <v>0.06</v>
      </c>
      <c r="E42" s="229">
        <f>E40*D42</f>
        <v>543.9</v>
      </c>
      <c r="F42" s="384"/>
      <c r="G42" s="381"/>
      <c r="H42" s="381"/>
      <c r="I42" s="381"/>
      <c r="J42" s="381"/>
      <c r="K42" s="388"/>
    </row>
    <row r="43" spans="1:11" ht="18" customHeight="1" thickBot="1">
      <c r="A43" s="385"/>
      <c r="B43" s="386"/>
      <c r="C43" s="394" t="s">
        <v>52</v>
      </c>
      <c r="D43" s="395"/>
      <c r="E43" s="234">
        <f>E42+E41+E40</f>
        <v>10152.799999999999</v>
      </c>
      <c r="F43" s="385"/>
      <c r="G43" s="386"/>
      <c r="H43" s="386"/>
      <c r="I43" s="386"/>
      <c r="J43" s="386"/>
      <c r="K43" s="393"/>
    </row>
    <row r="44" spans="1:11" ht="18" customHeight="1"/>
    <row r="45" spans="1:11" ht="18" customHeight="1"/>
    <row r="46" spans="1:11" ht="18" customHeight="1"/>
    <row r="47" spans="1:11" ht="35.25" customHeight="1">
      <c r="G47" s="376"/>
      <c r="H47" s="376"/>
      <c r="I47" s="376"/>
    </row>
    <row r="48" spans="1:11" ht="18" customHeight="1">
      <c r="G48" s="377"/>
      <c r="H48" s="377"/>
      <c r="I48" s="248"/>
    </row>
    <row r="49" spans="1:7" ht="18" customHeight="1">
      <c r="A49" s="207"/>
      <c r="G49" s="207"/>
    </row>
    <row r="50" spans="1:7" ht="18" customHeight="1">
      <c r="A50" s="207"/>
      <c r="G50" s="207"/>
    </row>
    <row r="51" spans="1:7" ht="18" hidden="1" customHeight="1">
      <c r="A51" s="207"/>
      <c r="G51" s="207"/>
    </row>
    <row r="52" spans="1:7" ht="18" hidden="1" customHeight="1">
      <c r="A52" s="207"/>
      <c r="G52" s="207"/>
    </row>
    <row r="53" spans="1:7" ht="18" hidden="1" customHeight="1">
      <c r="A53" s="207"/>
      <c r="G53" s="207"/>
    </row>
    <row r="54" spans="1:7" ht="18" hidden="1" customHeight="1">
      <c r="A54" s="207"/>
      <c r="G54" s="207"/>
    </row>
  </sheetData>
  <sheetProtection password="CF7A" sheet="1" objects="1" scenarios="1"/>
  <customSheetViews>
    <customSheetView guid="{5E113600-004F-4409-A088-DFECFF9BC96A}" showGridLines="0" fitToPage="1" hiddenRows="1" hiddenColumns="1">
      <pane xSplit="2" ySplit="4" topLeftCell="C25" activePane="bottomRight" state="frozen"/>
      <selection pane="bottomRight" activeCell="D33" sqref="D33"/>
      <pageMargins left="1.3385826771653544" right="1.6929133858267718" top="0.98425196850393704" bottom="0.78740157480314965" header="0.51181102362204722" footer="0.51181102362204722"/>
      <pageSetup paperSize="9" scale="54" firstPageNumber="0" fitToWidth="0" orientation="landscape" r:id="rId1"/>
    </customSheetView>
    <customSheetView guid="{1F97382E-80B0-473D-874E-BD5E60D01A4B}" showGridLines="0" fitToPage="1" hiddenRows="1" hiddenColumns="1">
      <pane xSplit="2" ySplit="4" topLeftCell="C16" activePane="bottomRight" state="frozen"/>
      <selection pane="bottomRight" activeCell="C33" sqref="C33"/>
      <pageMargins left="1.3385826771653544" right="1.6929133858267718" top="0.98425196850393704" bottom="0.78740157480314965" header="0.51181102362204722" footer="0.51181102362204722"/>
      <pageSetup paperSize="9" scale="54" firstPageNumber="0" fitToWidth="0" orientation="landscape" r:id="rId2"/>
    </customSheetView>
    <customSheetView guid="{7663FDEA-AE2F-416B-8123-1D493B6639C0}" showGridLines="0" fitToPage="1" hiddenRows="1" hiddenColumns="1">
      <pane xSplit="2" ySplit="4" topLeftCell="C16" activePane="bottomRight" state="frozen"/>
      <selection pane="bottomRight" activeCell="C33" sqref="C33"/>
      <pageMargins left="1.3385826771653544" right="1.6929133858267718" top="0.98425196850393704" bottom="0.78740157480314965" header="0.51181102362204722" footer="0.51181102362204722"/>
      <pageSetup paperSize="9" scale="54" firstPageNumber="0" fitToWidth="0" orientation="landscape" r:id="rId3"/>
    </customSheetView>
    <customSheetView guid="{C287C8AD-6E2E-4D5F-930B-C18EF9030790}" showGridLines="0" fitToPage="1" hiddenRows="1" hiddenColumns="1">
      <pane xSplit="2" ySplit="4" topLeftCell="C16" activePane="bottomRight" state="frozen"/>
      <selection pane="bottomRight" activeCell="C33" sqref="C33"/>
      <pageMargins left="1.3385826771653544" right="1.6929133858267718" top="0.98425196850393704" bottom="0.78740157480314965" header="0.51181102362204722" footer="0.51181102362204722"/>
      <pageSetup paperSize="9" scale="54" firstPageNumber="0" fitToWidth="0" orientation="landscape" r:id="rId4"/>
    </customSheetView>
  </customSheetViews>
  <mergeCells count="12">
    <mergeCell ref="G47:I47"/>
    <mergeCell ref="G48:H48"/>
    <mergeCell ref="A1:K1"/>
    <mergeCell ref="A2:K2"/>
    <mergeCell ref="X29:AD29"/>
    <mergeCell ref="A37:B43"/>
    <mergeCell ref="C37:K38"/>
    <mergeCell ref="F39:F43"/>
    <mergeCell ref="G39:J39"/>
    <mergeCell ref="K39:K41"/>
    <mergeCell ref="G42:K43"/>
    <mergeCell ref="C43:D43"/>
  </mergeCells>
  <conditionalFormatting sqref="A36">
    <cfRule type="containsText" dxfId="1291" priority="4" operator="containsText" text="Wednesday"/>
    <cfRule type="containsText" dxfId="1290" priority="5" operator="containsText" text="Sunday"/>
  </conditionalFormatting>
  <conditionalFormatting sqref="A5:J35">
    <cfRule type="expression" dxfId="1289" priority="2">
      <formula>$A5="Sat"</formula>
    </cfRule>
    <cfRule type="expression" dxfId="1288" priority="3">
      <formula>$A5="Sun"</formula>
    </cfRule>
  </conditionalFormatting>
  <conditionalFormatting sqref="F1:H1048576">
    <cfRule type="cellIs" dxfId="1287" priority="1" operator="lessThan">
      <formula>0</formula>
    </cfRule>
  </conditionalFormatting>
  <pageMargins left="1.3385826771653544" right="1.6929133858267718" top="0.98425196850393704" bottom="0.78740157480314965" header="0.51181102362204722" footer="0.51181102362204722"/>
  <pageSetup paperSize="9" scale="54" firstPageNumber="0" fitToWidth="0" orientation="landscape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AV40"/>
  <sheetViews>
    <sheetView showGridLines="0" zoomScale="90" zoomScaleNormal="90" workbookViewId="0">
      <selection activeCell="C2" sqref="C2:E2"/>
    </sheetView>
  </sheetViews>
  <sheetFormatPr defaultColWidth="0" defaultRowHeight="15" zeroHeight="1"/>
  <cols>
    <col min="1" max="1" width="6.5703125" bestFit="1" customWidth="1"/>
    <col min="2" max="2" width="9.28515625" customWidth="1"/>
    <col min="3" max="3" width="24.85546875" bestFit="1" customWidth="1"/>
    <col min="4" max="4" width="11.42578125" customWidth="1"/>
    <col min="5" max="5" width="9" customWidth="1"/>
    <col min="6" max="6" width="4.42578125" style="7" bestFit="1" customWidth="1"/>
    <col min="7" max="7" width="4.140625" customWidth="1"/>
    <col min="8" max="8" width="4.140625" bestFit="1" customWidth="1"/>
    <col min="9" max="18" width="4.140625" customWidth="1"/>
    <col min="19" max="19" width="4.42578125" bestFit="1" customWidth="1"/>
    <col min="20" max="22" width="4.140625" customWidth="1"/>
    <col min="23" max="23" width="4.140625" bestFit="1" customWidth="1"/>
    <col min="24" max="26" width="4.140625" customWidth="1"/>
    <col min="27" max="28" width="4.28515625" customWidth="1"/>
    <col min="29" max="36" width="4.140625" customWidth="1"/>
    <col min="37" max="37" width="5.42578125" customWidth="1"/>
    <col min="38" max="40" width="4.140625" customWidth="1"/>
    <col min="41" max="41" width="8.42578125" customWidth="1"/>
    <col min="42" max="42" width="7.5703125" customWidth="1"/>
    <col min="43" max="43" width="6.85546875" customWidth="1"/>
    <col min="44" max="44" width="9.7109375" customWidth="1"/>
    <col min="45" max="45" width="14.7109375" customWidth="1"/>
    <col min="46" max="46" width="10.5703125" customWidth="1"/>
    <col min="47" max="48" width="9.140625" customWidth="1"/>
    <col min="49" max="16384" width="9.140625" hidden="1"/>
  </cols>
  <sheetData>
    <row r="1" spans="1:46" ht="25.5">
      <c r="A1" s="406" t="s">
        <v>503</v>
      </c>
      <c r="B1" s="406"/>
      <c r="C1" s="406"/>
      <c r="D1" s="406"/>
      <c r="E1" s="407"/>
      <c r="F1" s="408" t="s">
        <v>198</v>
      </c>
      <c r="G1" s="408"/>
      <c r="H1" s="408"/>
      <c r="I1" s="408"/>
      <c r="J1" s="408"/>
      <c r="K1" s="408"/>
      <c r="L1" s="408"/>
      <c r="M1" s="408"/>
      <c r="N1" s="408"/>
      <c r="O1" s="408"/>
      <c r="P1" s="408"/>
      <c r="Q1" s="408"/>
      <c r="R1" s="408"/>
      <c r="S1" s="408"/>
      <c r="T1" s="408"/>
      <c r="U1" s="408"/>
      <c r="V1" s="408"/>
      <c r="W1" s="408"/>
      <c r="X1" s="408"/>
      <c r="Y1" s="408"/>
      <c r="Z1" s="408"/>
      <c r="AA1" s="409">
        <f>Summary!R4</f>
        <v>46054</v>
      </c>
      <c r="AB1" s="409"/>
      <c r="AC1" s="409"/>
      <c r="AD1" s="409"/>
      <c r="AE1" s="409"/>
      <c r="AF1" s="409"/>
      <c r="AG1" s="409"/>
      <c r="AH1" s="409"/>
      <c r="AI1" s="409"/>
      <c r="AJ1" s="409"/>
    </row>
    <row r="2" spans="1:46" ht="27">
      <c r="A2" s="241" t="s">
        <v>70</v>
      </c>
      <c r="B2" s="311">
        <v>24</v>
      </c>
      <c r="C2" s="397"/>
      <c r="D2" s="398"/>
      <c r="E2" s="399"/>
      <c r="F2" s="8" t="str">
        <f>TEXT(F3,"ddd")</f>
        <v>Sun</v>
      </c>
      <c r="G2" s="8" t="str">
        <f t="shared" ref="G2:AJ2" si="0">TEXT(G3,"ddd")</f>
        <v>Mon</v>
      </c>
      <c r="H2" s="8" t="str">
        <f t="shared" si="0"/>
        <v>Tue</v>
      </c>
      <c r="I2" s="8" t="str">
        <f t="shared" si="0"/>
        <v>Wed</v>
      </c>
      <c r="J2" s="8" t="str">
        <f t="shared" si="0"/>
        <v>Thu</v>
      </c>
      <c r="K2" s="8" t="str">
        <f t="shared" si="0"/>
        <v>Fri</v>
      </c>
      <c r="L2" s="8" t="str">
        <f t="shared" si="0"/>
        <v>Sat</v>
      </c>
      <c r="M2" s="8" t="str">
        <f t="shared" si="0"/>
        <v>Sun</v>
      </c>
      <c r="N2" s="8" t="str">
        <f t="shared" si="0"/>
        <v>Mon</v>
      </c>
      <c r="O2" s="8" t="str">
        <f t="shared" si="0"/>
        <v>Tue</v>
      </c>
      <c r="P2" s="8" t="str">
        <f t="shared" si="0"/>
        <v>Wed</v>
      </c>
      <c r="Q2" s="8" t="str">
        <f t="shared" si="0"/>
        <v>Thu</v>
      </c>
      <c r="R2" s="8" t="str">
        <f t="shared" si="0"/>
        <v>Fri</v>
      </c>
      <c r="S2" s="8" t="str">
        <f t="shared" si="0"/>
        <v>Sat</v>
      </c>
      <c r="T2" s="8" t="str">
        <f t="shared" si="0"/>
        <v>Sun</v>
      </c>
      <c r="U2" s="8" t="str">
        <f t="shared" si="0"/>
        <v>Mon</v>
      </c>
      <c r="V2" s="8" t="str">
        <f t="shared" si="0"/>
        <v>Tue</v>
      </c>
      <c r="W2" s="8" t="str">
        <f t="shared" si="0"/>
        <v>Wed</v>
      </c>
      <c r="X2" s="8" t="str">
        <f t="shared" si="0"/>
        <v>Thu</v>
      </c>
      <c r="Y2" s="8" t="str">
        <f t="shared" si="0"/>
        <v>Fri</v>
      </c>
      <c r="Z2" s="8" t="str">
        <f t="shared" si="0"/>
        <v>Sat</v>
      </c>
      <c r="AA2" s="8" t="str">
        <f t="shared" si="0"/>
        <v>Sun</v>
      </c>
      <c r="AB2" s="8" t="str">
        <f t="shared" si="0"/>
        <v>Mon</v>
      </c>
      <c r="AC2" s="8" t="str">
        <f t="shared" si="0"/>
        <v>Tue</v>
      </c>
      <c r="AD2" s="8" t="str">
        <f t="shared" si="0"/>
        <v>Wed</v>
      </c>
      <c r="AE2" s="8" t="str">
        <f t="shared" si="0"/>
        <v>Thu</v>
      </c>
      <c r="AF2" s="8" t="str">
        <f t="shared" si="0"/>
        <v>Fri</v>
      </c>
      <c r="AG2" s="8" t="str">
        <f t="shared" si="0"/>
        <v>Sat</v>
      </c>
      <c r="AH2" s="8" t="str">
        <f t="shared" si="0"/>
        <v>Sun</v>
      </c>
      <c r="AI2" s="8" t="str">
        <f t="shared" si="0"/>
        <v>Mon</v>
      </c>
      <c r="AJ2" s="8" t="str">
        <f t="shared" si="0"/>
        <v>Tue</v>
      </c>
    </row>
    <row r="3" spans="1:46" ht="51.75">
      <c r="A3" s="9" t="s">
        <v>71</v>
      </c>
      <c r="B3" s="9" t="s">
        <v>223</v>
      </c>
      <c r="C3" s="9" t="s">
        <v>72</v>
      </c>
      <c r="D3" s="10" t="s">
        <v>73</v>
      </c>
      <c r="E3" s="10" t="s">
        <v>199</v>
      </c>
      <c r="F3" s="11">
        <f>Summary!R4</f>
        <v>46054</v>
      </c>
      <c r="G3" s="11">
        <f>F3+1</f>
        <v>46055</v>
      </c>
      <c r="H3" s="11">
        <f t="shared" ref="H3:AF3" si="1">G3+1</f>
        <v>46056</v>
      </c>
      <c r="I3" s="11">
        <f t="shared" si="1"/>
        <v>46057</v>
      </c>
      <c r="J3" s="11">
        <f t="shared" si="1"/>
        <v>46058</v>
      </c>
      <c r="K3" s="11">
        <f t="shared" si="1"/>
        <v>46059</v>
      </c>
      <c r="L3" s="11">
        <f t="shared" si="1"/>
        <v>46060</v>
      </c>
      <c r="M3" s="11">
        <f t="shared" si="1"/>
        <v>46061</v>
      </c>
      <c r="N3" s="11">
        <f t="shared" si="1"/>
        <v>46062</v>
      </c>
      <c r="O3" s="11">
        <f t="shared" si="1"/>
        <v>46063</v>
      </c>
      <c r="P3" s="11">
        <f t="shared" si="1"/>
        <v>46064</v>
      </c>
      <c r="Q3" s="11">
        <f t="shared" si="1"/>
        <v>46065</v>
      </c>
      <c r="R3" s="11">
        <f t="shared" si="1"/>
        <v>46066</v>
      </c>
      <c r="S3" s="11">
        <f t="shared" si="1"/>
        <v>46067</v>
      </c>
      <c r="T3" s="11">
        <f t="shared" si="1"/>
        <v>46068</v>
      </c>
      <c r="U3" s="11">
        <f t="shared" si="1"/>
        <v>46069</v>
      </c>
      <c r="V3" s="11">
        <f t="shared" si="1"/>
        <v>46070</v>
      </c>
      <c r="W3" s="11">
        <f t="shared" si="1"/>
        <v>46071</v>
      </c>
      <c r="X3" s="11">
        <f t="shared" si="1"/>
        <v>46072</v>
      </c>
      <c r="Y3" s="11">
        <f t="shared" si="1"/>
        <v>46073</v>
      </c>
      <c r="Z3" s="11">
        <f t="shared" si="1"/>
        <v>46074</v>
      </c>
      <c r="AA3" s="11">
        <f t="shared" si="1"/>
        <v>46075</v>
      </c>
      <c r="AB3" s="11">
        <f t="shared" si="1"/>
        <v>46076</v>
      </c>
      <c r="AC3" s="11">
        <f t="shared" si="1"/>
        <v>46077</v>
      </c>
      <c r="AD3" s="11">
        <f t="shared" si="1"/>
        <v>46078</v>
      </c>
      <c r="AE3" s="11">
        <f t="shared" si="1"/>
        <v>46079</v>
      </c>
      <c r="AF3" s="11">
        <f t="shared" si="1"/>
        <v>46080</v>
      </c>
      <c r="AG3" s="11">
        <f t="shared" ref="AG3" si="2">AF3+1</f>
        <v>46081</v>
      </c>
      <c r="AH3" s="11">
        <f t="shared" ref="AH3" si="3">AG3+1</f>
        <v>46082</v>
      </c>
      <c r="AI3" s="11">
        <f t="shared" ref="AI3" si="4">AH3+1</f>
        <v>46083</v>
      </c>
      <c r="AJ3" s="11">
        <f t="shared" ref="AJ3" si="5">AI3+1</f>
        <v>46084</v>
      </c>
      <c r="AK3" s="8" t="s">
        <v>75</v>
      </c>
      <c r="AL3" s="8" t="s">
        <v>76</v>
      </c>
      <c r="AM3" s="8" t="s">
        <v>77</v>
      </c>
      <c r="AN3" s="8" t="s">
        <v>78</v>
      </c>
      <c r="AO3" s="12" t="s">
        <v>79</v>
      </c>
      <c r="AP3" s="12" t="s">
        <v>80</v>
      </c>
      <c r="AQ3" s="12" t="s">
        <v>81</v>
      </c>
      <c r="AR3" s="12" t="s">
        <v>82</v>
      </c>
      <c r="AS3" s="12" t="s">
        <v>83</v>
      </c>
      <c r="AT3" s="12" t="s">
        <v>63</v>
      </c>
    </row>
    <row r="4" spans="1:46" ht="18">
      <c r="A4" s="410" t="str">
        <f>Summary!R5</f>
        <v>SOC</v>
      </c>
      <c r="B4" s="411"/>
      <c r="C4" s="411"/>
      <c r="D4" s="411"/>
      <c r="E4" s="411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  <c r="AT4" s="412"/>
    </row>
    <row r="5" spans="1:46" ht="17.25">
      <c r="A5" s="284">
        <v>1</v>
      </c>
      <c r="B5" s="284"/>
      <c r="C5" s="285" t="s">
        <v>475</v>
      </c>
      <c r="D5" s="286" t="s">
        <v>183</v>
      </c>
      <c r="E5" s="16">
        <f>18939.2/$B$2</f>
        <v>789.13333333333333</v>
      </c>
      <c r="F5" s="17" t="s">
        <v>77</v>
      </c>
      <c r="G5" s="17" t="s">
        <v>478</v>
      </c>
      <c r="H5" s="17" t="s">
        <v>478</v>
      </c>
      <c r="I5" s="17" t="s">
        <v>478</v>
      </c>
      <c r="J5" s="17" t="s">
        <v>478</v>
      </c>
      <c r="K5" s="17" t="s">
        <v>478</v>
      </c>
      <c r="L5" s="17" t="s">
        <v>77</v>
      </c>
      <c r="M5" s="17" t="s">
        <v>478</v>
      </c>
      <c r="N5" s="17" t="s">
        <v>478</v>
      </c>
      <c r="O5" s="17" t="s">
        <v>478</v>
      </c>
      <c r="P5" s="17" t="s">
        <v>478</v>
      </c>
      <c r="Q5" s="17" t="s">
        <v>478</v>
      </c>
      <c r="R5" s="17" t="s">
        <v>478</v>
      </c>
      <c r="S5" s="17" t="s">
        <v>478</v>
      </c>
      <c r="T5" s="17" t="s">
        <v>77</v>
      </c>
      <c r="U5" s="17" t="s">
        <v>478</v>
      </c>
      <c r="V5" s="17" t="s">
        <v>478</v>
      </c>
      <c r="W5" s="17" t="s">
        <v>478</v>
      </c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299">
        <f>COUNTIF(F5:AJ5,"P*")</f>
        <v>15</v>
      </c>
      <c r="AL5" s="299">
        <f>COUNTIF(F5:AJ5,"A")</f>
        <v>0</v>
      </c>
      <c r="AM5" s="299">
        <f>COUNTIF(F5:AJ5,"WO")</f>
        <v>3</v>
      </c>
      <c r="AN5" s="299">
        <f>COUNTIF(F5:AJ5,"HD")</f>
        <v>0</v>
      </c>
      <c r="AO5" s="299">
        <f t="shared" ref="AO5:AO6" si="6">AK5+AN5</f>
        <v>15</v>
      </c>
      <c r="AP5" s="299">
        <f>(COUNTIF(F5:AJ5,"P12")*12)</f>
        <v>0</v>
      </c>
      <c r="AQ5" s="299">
        <f t="shared" ref="AQ5:AQ6" si="7">AP5/12</f>
        <v>0</v>
      </c>
      <c r="AR5" s="299">
        <f t="shared" ref="AR5:AR6" si="8">AO5+AQ5</f>
        <v>15</v>
      </c>
      <c r="AS5" s="300">
        <f>AR5*E5</f>
        <v>11837</v>
      </c>
      <c r="AT5" s="301"/>
    </row>
    <row r="6" spans="1:46" ht="17.25">
      <c r="A6" s="284">
        <v>2</v>
      </c>
      <c r="B6" s="284"/>
      <c r="C6" s="285" t="s">
        <v>477</v>
      </c>
      <c r="D6" s="286" t="s">
        <v>183</v>
      </c>
      <c r="E6" s="16">
        <f t="shared" ref="E6:E11" si="9">18939.2/$B$2</f>
        <v>789.13333333333333</v>
      </c>
      <c r="F6" s="17" t="s">
        <v>77</v>
      </c>
      <c r="G6" s="17" t="s">
        <v>478</v>
      </c>
      <c r="H6" s="17" t="s">
        <v>478</v>
      </c>
      <c r="I6" s="17" t="s">
        <v>478</v>
      </c>
      <c r="J6" s="17" t="s">
        <v>478</v>
      </c>
      <c r="K6" s="17" t="s">
        <v>478</v>
      </c>
      <c r="L6" s="17" t="s">
        <v>77</v>
      </c>
      <c r="M6" s="17" t="s">
        <v>478</v>
      </c>
      <c r="N6" s="17" t="s">
        <v>478</v>
      </c>
      <c r="O6" s="17" t="s">
        <v>478</v>
      </c>
      <c r="P6" s="17" t="s">
        <v>478</v>
      </c>
      <c r="Q6" s="17" t="s">
        <v>478</v>
      </c>
      <c r="R6" s="17" t="s">
        <v>478</v>
      </c>
      <c r="S6" s="17" t="s">
        <v>77</v>
      </c>
      <c r="T6" s="17" t="s">
        <v>478</v>
      </c>
      <c r="U6" s="17" t="s">
        <v>478</v>
      </c>
      <c r="V6" s="17" t="s">
        <v>478</v>
      </c>
      <c r="W6" s="17" t="s">
        <v>478</v>
      </c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299">
        <f t="shared" ref="AK6:AK10" si="10">COUNTIF(F6:AJ6,"P*")</f>
        <v>15</v>
      </c>
      <c r="AL6" s="299">
        <f>COUNTIF(F6:AJ6,"A")</f>
        <v>0</v>
      </c>
      <c r="AM6" s="299">
        <f>COUNTIF(F6:AJ6,"WO")</f>
        <v>3</v>
      </c>
      <c r="AN6" s="299">
        <f>COUNTIF(F6:AJ6,"HD")</f>
        <v>0</v>
      </c>
      <c r="AO6" s="299">
        <f t="shared" si="6"/>
        <v>15</v>
      </c>
      <c r="AP6" s="299">
        <f>(COUNTIF(F6:AJ6,"P12")*12)</f>
        <v>0</v>
      </c>
      <c r="AQ6" s="299">
        <f t="shared" si="7"/>
        <v>0</v>
      </c>
      <c r="AR6" s="299">
        <f t="shared" si="8"/>
        <v>15</v>
      </c>
      <c r="AS6" s="300">
        <f>AR6*E6</f>
        <v>11837</v>
      </c>
      <c r="AT6" s="301"/>
    </row>
    <row r="7" spans="1:46" ht="17.25">
      <c r="A7" s="284">
        <v>3</v>
      </c>
      <c r="B7" s="284"/>
      <c r="C7" s="285" t="s">
        <v>470</v>
      </c>
      <c r="D7" s="286" t="s">
        <v>183</v>
      </c>
      <c r="E7" s="16">
        <f t="shared" si="9"/>
        <v>789.13333333333333</v>
      </c>
      <c r="F7" s="17" t="s">
        <v>77</v>
      </c>
      <c r="G7" s="17" t="s">
        <v>478</v>
      </c>
      <c r="H7" s="17" t="s">
        <v>478</v>
      </c>
      <c r="I7" s="17" t="s">
        <v>478</v>
      </c>
      <c r="J7" s="17" t="s">
        <v>478</v>
      </c>
      <c r="K7" s="17" t="s">
        <v>478</v>
      </c>
      <c r="L7" s="17" t="s">
        <v>77</v>
      </c>
      <c r="M7" s="17" t="s">
        <v>478</v>
      </c>
      <c r="N7" s="17" t="s">
        <v>478</v>
      </c>
      <c r="O7" s="17" t="s">
        <v>478</v>
      </c>
      <c r="P7" s="17" t="s">
        <v>478</v>
      </c>
      <c r="Q7" s="17" t="s">
        <v>478</v>
      </c>
      <c r="R7" s="17" t="s">
        <v>478</v>
      </c>
      <c r="S7" s="17" t="s">
        <v>77</v>
      </c>
      <c r="T7" s="17" t="s">
        <v>478</v>
      </c>
      <c r="U7" s="17" t="s">
        <v>478</v>
      </c>
      <c r="V7" s="17" t="s">
        <v>478</v>
      </c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299">
        <f t="shared" si="10"/>
        <v>14</v>
      </c>
      <c r="AL7" s="299">
        <f>COUNTIF(F7:AJ7,"A")</f>
        <v>0</v>
      </c>
      <c r="AM7" s="299">
        <f>COUNTIF(F7:AJ7,"WO")</f>
        <v>3</v>
      </c>
      <c r="AN7" s="299">
        <f>COUNTIF(F7:AJ7,"HD")</f>
        <v>0</v>
      </c>
      <c r="AO7" s="299">
        <f t="shared" ref="AO7" si="11">AK7+AN7</f>
        <v>14</v>
      </c>
      <c r="AP7" s="299">
        <f>(COUNTIF(F7:AJ7,"P12")*12)</f>
        <v>0</v>
      </c>
      <c r="AQ7" s="299">
        <f t="shared" ref="AQ7" si="12">AP7/12</f>
        <v>0</v>
      </c>
      <c r="AR7" s="299">
        <f t="shared" ref="AR7" si="13">AO7+AQ7</f>
        <v>14</v>
      </c>
      <c r="AS7" s="300">
        <f>AR7*E7</f>
        <v>11047.866666666667</v>
      </c>
      <c r="AT7" s="301"/>
    </row>
    <row r="8" spans="1:46" ht="17.25">
      <c r="A8" s="284">
        <v>4</v>
      </c>
      <c r="B8" s="284"/>
      <c r="C8" s="285" t="s">
        <v>480</v>
      </c>
      <c r="D8" s="286" t="s">
        <v>183</v>
      </c>
      <c r="E8" s="16">
        <f t="shared" si="9"/>
        <v>789.13333333333333</v>
      </c>
      <c r="F8" s="17" t="s">
        <v>479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299">
        <f t="shared" si="10"/>
        <v>0</v>
      </c>
      <c r="AL8" s="299">
        <f t="shared" ref="AL8" si="14">COUNTIF(F8:AJ8,"A")</f>
        <v>1</v>
      </c>
      <c r="AM8" s="299">
        <f t="shared" ref="AM8" si="15">COUNTIF(F8:AJ8,"WO")</f>
        <v>0</v>
      </c>
      <c r="AN8" s="299">
        <f t="shared" ref="AN8" si="16">COUNTIF(F8:AJ8,"HD")</f>
        <v>0</v>
      </c>
      <c r="AO8" s="299">
        <f t="shared" ref="AO8" si="17">AK8+AN8</f>
        <v>0</v>
      </c>
      <c r="AP8" s="299">
        <f t="shared" ref="AP8" si="18">(COUNTIF(F8:AJ8,"P12")*12)</f>
        <v>0</v>
      </c>
      <c r="AQ8" s="299">
        <f t="shared" ref="AQ8" si="19">AP8/12</f>
        <v>0</v>
      </c>
      <c r="AR8" s="299">
        <f t="shared" ref="AR8" si="20">AO8+AQ8</f>
        <v>0</v>
      </c>
      <c r="AS8" s="300">
        <f t="shared" ref="AS8" si="21">AR8*E8</f>
        <v>0</v>
      </c>
      <c r="AT8" s="301"/>
    </row>
    <row r="9" spans="1:46" ht="17.25">
      <c r="A9" s="284">
        <v>5</v>
      </c>
      <c r="B9" s="284"/>
      <c r="C9" s="285"/>
      <c r="D9" s="286" t="s">
        <v>183</v>
      </c>
      <c r="E9" s="16">
        <f t="shared" si="9"/>
        <v>789.13333333333333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299">
        <f t="shared" si="10"/>
        <v>0</v>
      </c>
      <c r="AL9" s="299">
        <f t="shared" ref="AL9" si="22">COUNTIF(F9:AJ9,"A")</f>
        <v>0</v>
      </c>
      <c r="AM9" s="299">
        <f t="shared" ref="AM9" si="23">COUNTIF(F9:AJ9,"WO")</f>
        <v>0</v>
      </c>
      <c r="AN9" s="299">
        <f t="shared" ref="AN9" si="24">COUNTIF(F9:AJ9,"HD")</f>
        <v>0</v>
      </c>
      <c r="AO9" s="299">
        <f t="shared" ref="AO9" si="25">AK9+AN9</f>
        <v>0</v>
      </c>
      <c r="AP9" s="299">
        <f t="shared" ref="AP9" si="26">(COUNTIF(F9:AJ9,"P12")*12)</f>
        <v>0</v>
      </c>
      <c r="AQ9" s="299">
        <f t="shared" ref="AQ9" si="27">AP9/12</f>
        <v>0</v>
      </c>
      <c r="AR9" s="299">
        <f t="shared" ref="AR9" si="28">AO9+AQ9</f>
        <v>0</v>
      </c>
      <c r="AS9" s="300">
        <f t="shared" ref="AS9" si="29">AR9*E9</f>
        <v>0</v>
      </c>
      <c r="AT9" s="301"/>
    </row>
    <row r="10" spans="1:46" ht="17.25">
      <c r="A10" s="284">
        <v>6</v>
      </c>
      <c r="B10" s="284"/>
      <c r="C10" s="315"/>
      <c r="D10" s="286" t="s">
        <v>183</v>
      </c>
      <c r="E10" s="16">
        <f t="shared" si="9"/>
        <v>789.13333333333333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299">
        <f t="shared" si="10"/>
        <v>0</v>
      </c>
      <c r="AL10" s="299">
        <f t="shared" ref="AL10" si="30">COUNTIF(F10:AJ10,"A")</f>
        <v>0</v>
      </c>
      <c r="AM10" s="299">
        <f t="shared" ref="AM10" si="31">COUNTIF(F10:AJ10,"WO")</f>
        <v>0</v>
      </c>
      <c r="AN10" s="299">
        <f t="shared" ref="AN10" si="32">COUNTIF(F10:AJ10,"HD")</f>
        <v>0</v>
      </c>
      <c r="AO10" s="299">
        <f t="shared" ref="AO10" si="33">AK10+AN10</f>
        <v>0</v>
      </c>
      <c r="AP10" s="299">
        <f t="shared" ref="AP10" si="34">(COUNTIF(F10:AJ10,"P12")*12)</f>
        <v>0</v>
      </c>
      <c r="AQ10" s="299">
        <f t="shared" ref="AQ10" si="35">AP10/12</f>
        <v>0</v>
      </c>
      <c r="AR10" s="299">
        <f t="shared" ref="AR10" si="36">AO10+AQ10</f>
        <v>0</v>
      </c>
      <c r="AS10" s="300">
        <f t="shared" ref="AS10" si="37">AR10*E10</f>
        <v>0</v>
      </c>
      <c r="AT10" s="301"/>
    </row>
    <row r="11" spans="1:46" ht="17.25">
      <c r="A11" s="284">
        <v>7</v>
      </c>
      <c r="B11" s="284"/>
      <c r="C11" s="285"/>
      <c r="D11" s="286" t="s">
        <v>183</v>
      </c>
      <c r="E11" s="16">
        <f t="shared" si="9"/>
        <v>789.13333333333333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299">
        <f t="shared" ref="AK11" si="38">COUNTIF(F11:AJ11,"P*")</f>
        <v>0</v>
      </c>
      <c r="AL11" s="299">
        <f t="shared" ref="AL11" si="39">COUNTIF(F11:AJ11,"A")</f>
        <v>0</v>
      </c>
      <c r="AM11" s="299">
        <f t="shared" ref="AM11" si="40">COUNTIF(F11:AJ11,"WO")</f>
        <v>0</v>
      </c>
      <c r="AN11" s="299">
        <f t="shared" ref="AN11" si="41">COUNTIF(F11:AJ11,"HD")</f>
        <v>0</v>
      </c>
      <c r="AO11" s="299">
        <f t="shared" ref="AO11" si="42">AK11+AN11</f>
        <v>0</v>
      </c>
      <c r="AP11" s="299">
        <f t="shared" ref="AP11" si="43">(COUNTIF(F11:AJ11,"P12")*12)</f>
        <v>0</v>
      </c>
      <c r="AQ11" s="299">
        <f t="shared" ref="AQ11" si="44">AP11/12</f>
        <v>0</v>
      </c>
      <c r="AR11" s="299">
        <f t="shared" ref="AR11" si="45">AO11+AQ11</f>
        <v>0</v>
      </c>
      <c r="AS11" s="300">
        <f t="shared" ref="AS11" si="46">AR11*E11</f>
        <v>0</v>
      </c>
      <c r="AT11" s="301"/>
    </row>
    <row r="12" spans="1:46" ht="17.25">
      <c r="A12" s="35"/>
      <c r="B12" s="13"/>
      <c r="C12" s="3"/>
      <c r="D12" s="413" t="s">
        <v>84</v>
      </c>
      <c r="E12" s="413"/>
      <c r="F12" s="2">
        <f>COUNTIF(F5:F11,"P")</f>
        <v>0</v>
      </c>
      <c r="G12" s="2">
        <f t="shared" ref="G12:AJ12" si="47">COUNTIF(G5:G11,"P")</f>
        <v>3</v>
      </c>
      <c r="H12" s="2">
        <f t="shared" si="47"/>
        <v>3</v>
      </c>
      <c r="I12" s="2">
        <f t="shared" si="47"/>
        <v>3</v>
      </c>
      <c r="J12" s="2">
        <f t="shared" si="47"/>
        <v>3</v>
      </c>
      <c r="K12" s="2">
        <f t="shared" si="47"/>
        <v>3</v>
      </c>
      <c r="L12" s="2">
        <f t="shared" si="47"/>
        <v>0</v>
      </c>
      <c r="M12" s="2">
        <f t="shared" si="47"/>
        <v>3</v>
      </c>
      <c r="N12" s="2">
        <f t="shared" si="47"/>
        <v>3</v>
      </c>
      <c r="O12" s="2">
        <f t="shared" si="47"/>
        <v>3</v>
      </c>
      <c r="P12" s="2">
        <f t="shared" si="47"/>
        <v>3</v>
      </c>
      <c r="Q12" s="2">
        <f t="shared" si="47"/>
        <v>3</v>
      </c>
      <c r="R12" s="2">
        <f t="shared" si="47"/>
        <v>3</v>
      </c>
      <c r="S12" s="2">
        <f t="shared" si="47"/>
        <v>1</v>
      </c>
      <c r="T12" s="2">
        <f t="shared" si="47"/>
        <v>2</v>
      </c>
      <c r="U12" s="2">
        <f t="shared" si="47"/>
        <v>3</v>
      </c>
      <c r="V12" s="2">
        <f t="shared" si="47"/>
        <v>3</v>
      </c>
      <c r="W12" s="2">
        <f t="shared" si="47"/>
        <v>2</v>
      </c>
      <c r="X12" s="2">
        <f t="shared" si="47"/>
        <v>0</v>
      </c>
      <c r="Y12" s="2">
        <f t="shared" si="47"/>
        <v>0</v>
      </c>
      <c r="Z12" s="2">
        <f t="shared" si="47"/>
        <v>0</v>
      </c>
      <c r="AA12" s="2">
        <f t="shared" si="47"/>
        <v>0</v>
      </c>
      <c r="AB12" s="2">
        <f t="shared" si="47"/>
        <v>0</v>
      </c>
      <c r="AC12" s="2">
        <f t="shared" si="47"/>
        <v>0</v>
      </c>
      <c r="AD12" s="2">
        <f t="shared" si="47"/>
        <v>0</v>
      </c>
      <c r="AE12" s="2">
        <f t="shared" si="47"/>
        <v>0</v>
      </c>
      <c r="AF12" s="2">
        <f t="shared" si="47"/>
        <v>0</v>
      </c>
      <c r="AG12" s="2">
        <f t="shared" si="47"/>
        <v>0</v>
      </c>
      <c r="AH12" s="2">
        <f t="shared" si="47"/>
        <v>0</v>
      </c>
      <c r="AI12" s="2">
        <f t="shared" si="47"/>
        <v>0</v>
      </c>
      <c r="AJ12" s="2">
        <f t="shared" si="47"/>
        <v>0</v>
      </c>
      <c r="AK12" s="2">
        <f>SUM(AK5:AK10)</f>
        <v>44</v>
      </c>
      <c r="AL12" s="2">
        <f t="shared" ref="AL12:AS12" si="48">SUM(AL5:AL10)</f>
        <v>1</v>
      </c>
      <c r="AM12" s="2">
        <f t="shared" si="48"/>
        <v>9</v>
      </c>
      <c r="AN12" s="2">
        <f t="shared" si="48"/>
        <v>0</v>
      </c>
      <c r="AO12" s="2">
        <f t="shared" si="48"/>
        <v>44</v>
      </c>
      <c r="AP12" s="2">
        <f t="shared" si="48"/>
        <v>0</v>
      </c>
      <c r="AQ12" s="2">
        <f t="shared" si="48"/>
        <v>0</v>
      </c>
      <c r="AR12" s="2">
        <f>SUM(AR5:AR11)</f>
        <v>44</v>
      </c>
      <c r="AS12" s="2">
        <f t="shared" si="48"/>
        <v>34721.866666666669</v>
      </c>
      <c r="AT12" s="3"/>
    </row>
    <row r="13" spans="1:46">
      <c r="A13" s="18"/>
      <c r="B13" s="18"/>
      <c r="G13" s="7"/>
      <c r="H13" s="7"/>
      <c r="I13" s="7"/>
      <c r="J13" s="7"/>
      <c r="M13" s="7"/>
      <c r="N13" s="7"/>
      <c r="O13" s="7"/>
      <c r="P13" s="7"/>
      <c r="Q13" s="7"/>
      <c r="U13" s="7"/>
      <c r="V13" s="7"/>
      <c r="W13" s="7"/>
      <c r="X13" s="7"/>
      <c r="AA13" s="7"/>
      <c r="AB13" s="7"/>
      <c r="AC13" s="7"/>
      <c r="AD13" s="7"/>
      <c r="AE13" s="7"/>
      <c r="AK13" s="19"/>
      <c r="AL13" s="19"/>
      <c r="AM13" s="19"/>
      <c r="AN13" s="19"/>
      <c r="AO13" s="19"/>
      <c r="AP13" s="19"/>
      <c r="AQ13" s="19"/>
      <c r="AR13" s="19"/>
    </row>
    <row r="14" spans="1:46">
      <c r="A14" s="7"/>
      <c r="B14" s="7"/>
      <c r="C14" s="7"/>
      <c r="D14" s="7"/>
      <c r="E14" s="7"/>
      <c r="G14" s="7"/>
      <c r="AK14" s="19"/>
      <c r="AL14" s="19"/>
      <c r="AM14" s="19"/>
      <c r="AN14" s="19"/>
      <c r="AO14" s="19"/>
      <c r="AP14" s="19"/>
      <c r="AQ14" s="19"/>
      <c r="AR14" s="19"/>
    </row>
    <row r="15" spans="1:46" ht="30">
      <c r="A15" s="7"/>
      <c r="B15" s="7"/>
      <c r="C15" s="20" t="s">
        <v>73</v>
      </c>
      <c r="D15" s="21" t="s">
        <v>85</v>
      </c>
      <c r="E15" s="21" t="s">
        <v>86</v>
      </c>
      <c r="F15" s="414" t="s">
        <v>87</v>
      </c>
      <c r="G15" s="414"/>
      <c r="H15" s="414"/>
      <c r="I15" s="415" t="s">
        <v>88</v>
      </c>
      <c r="J15" s="416"/>
      <c r="K15" s="417"/>
      <c r="AK15" s="19"/>
      <c r="AL15" s="19"/>
      <c r="AM15" s="19"/>
      <c r="AN15" s="19"/>
      <c r="AO15" s="19"/>
      <c r="AP15" s="19"/>
      <c r="AQ15" s="19"/>
      <c r="AR15" s="19"/>
    </row>
    <row r="16" spans="1:46">
      <c r="A16" s="7"/>
      <c r="B16" s="7"/>
      <c r="C16" s="14" t="s">
        <v>89</v>
      </c>
      <c r="D16" s="15">
        <f>AR12</f>
        <v>44</v>
      </c>
      <c r="E16" s="15">
        <v>3</v>
      </c>
      <c r="F16" s="400">
        <f>E5</f>
        <v>789.13333333333333</v>
      </c>
      <c r="G16" s="401"/>
      <c r="H16" s="402"/>
      <c r="I16" s="403">
        <f>F16*D16</f>
        <v>34721.866666666669</v>
      </c>
      <c r="J16" s="404"/>
      <c r="K16" s="405"/>
      <c r="AK16" s="19"/>
      <c r="AL16" s="19"/>
      <c r="AM16" s="19"/>
      <c r="AN16" s="19"/>
      <c r="AO16" s="19"/>
      <c r="AP16" s="19"/>
      <c r="AQ16" s="19"/>
      <c r="AR16" s="19"/>
    </row>
    <row r="17" spans="1:44">
      <c r="A17" s="7"/>
      <c r="B17" s="7"/>
      <c r="C17" s="22" t="s">
        <v>52</v>
      </c>
      <c r="D17" s="15">
        <f>SUM(D16)</f>
        <v>44</v>
      </c>
      <c r="E17" s="15"/>
      <c r="F17" s="400"/>
      <c r="G17" s="401"/>
      <c r="H17" s="402"/>
      <c r="I17" s="403">
        <f>I16</f>
        <v>34721.866666666669</v>
      </c>
      <c r="J17" s="404"/>
      <c r="K17" s="405"/>
      <c r="AK17" s="19"/>
      <c r="AL17" s="19"/>
      <c r="AM17" s="19"/>
      <c r="AN17" s="19"/>
      <c r="AO17" s="19"/>
      <c r="AP17" s="19"/>
      <c r="AQ17" s="19"/>
      <c r="AR17" s="19"/>
    </row>
    <row r="18" spans="1:44">
      <c r="A18" s="7"/>
      <c r="B18" s="7"/>
      <c r="C18" s="7"/>
      <c r="D18" s="7"/>
      <c r="E18" s="7"/>
      <c r="G18" s="7"/>
      <c r="AK18" s="19"/>
      <c r="AL18" s="19"/>
      <c r="AM18" s="19"/>
      <c r="AN18" s="19"/>
      <c r="AO18" s="19"/>
      <c r="AP18" s="19"/>
      <c r="AQ18" s="19"/>
      <c r="AR18" s="19"/>
    </row>
    <row r="19" spans="1:44">
      <c r="A19" s="7"/>
      <c r="B19" s="7"/>
      <c r="C19" s="7"/>
      <c r="D19" s="396" t="s">
        <v>286</v>
      </c>
      <c r="E19" s="396"/>
      <c r="F19" s="396"/>
      <c r="G19" s="396"/>
      <c r="H19" s="396"/>
      <c r="I19" s="403">
        <f>I17*10%</f>
        <v>3472.186666666667</v>
      </c>
      <c r="J19" s="404"/>
      <c r="K19" s="405"/>
      <c r="AK19" s="19"/>
      <c r="AL19" s="19"/>
      <c r="AM19" s="19"/>
      <c r="AN19" s="19"/>
      <c r="AO19" s="19"/>
      <c r="AP19" s="19"/>
      <c r="AQ19" s="19"/>
      <c r="AR19" s="19"/>
    </row>
    <row r="20" spans="1:44">
      <c r="D20" s="396" t="s">
        <v>287</v>
      </c>
      <c r="E20" s="396"/>
      <c r="F20" s="396"/>
      <c r="G20" s="396"/>
      <c r="H20" s="396"/>
      <c r="I20" s="403">
        <f>I19+I17</f>
        <v>38194.053333333337</v>
      </c>
      <c r="J20" s="404"/>
      <c r="K20" s="405"/>
      <c r="W20" s="45"/>
    </row>
    <row r="21" spans="1:44">
      <c r="D21" s="396" t="s">
        <v>288</v>
      </c>
      <c r="E21" s="396"/>
      <c r="F21" s="396"/>
      <c r="G21" s="396"/>
      <c r="H21" s="396"/>
      <c r="I21" s="403">
        <f>I20*18%</f>
        <v>6874.9296000000004</v>
      </c>
      <c r="J21" s="404"/>
      <c r="K21" s="405"/>
    </row>
    <row r="22" spans="1:44">
      <c r="D22" s="396" t="s">
        <v>289</v>
      </c>
      <c r="E22" s="396"/>
      <c r="F22" s="396"/>
      <c r="G22" s="396"/>
      <c r="H22" s="396"/>
      <c r="I22" s="403">
        <f>I21+I20</f>
        <v>45068.98293333334</v>
      </c>
      <c r="J22" s="404"/>
      <c r="K22" s="405"/>
    </row>
    <row r="23" spans="1:44">
      <c r="D23" s="25"/>
    </row>
    <row r="24" spans="1:44" hidden="1">
      <c r="D24" s="26"/>
    </row>
    <row r="25" spans="1:44" hidden="1">
      <c r="D25" s="26"/>
    </row>
    <row r="26" spans="1:44" hidden="1">
      <c r="D26" s="25"/>
    </row>
    <row r="27" spans="1:44" hidden="1">
      <c r="D27" s="26"/>
    </row>
    <row r="28" spans="1:44" hidden="1">
      <c r="D28" s="26"/>
    </row>
    <row r="29" spans="1:44"/>
    <row r="30" spans="1:44"/>
    <row r="31" spans="1:44"/>
    <row r="32" spans="1:44"/>
    <row r="33"/>
    <row r="34"/>
    <row r="35"/>
    <row r="36"/>
    <row r="37"/>
    <row r="38"/>
    <row r="39"/>
    <row r="40"/>
  </sheetData>
  <sheetProtection algorithmName="SHA-512" hashValue="7PaNa4rrvqPiCVbuLS6EpwT++6VQ5zGlYN8q4RuJpP3aQtY3m2mAKb7gFAMb/z3mRLKoNN2O4XI3t/xEGXUE1w==" saltValue="9eeeQ9fkB6qQySWXOg58BA==" spinCount="100000" sheet="1" insertRows="0"/>
  <customSheetViews>
    <customSheetView guid="{5E113600-004F-4409-A088-DFECFF9BC96A}" scale="90" showGridLines="0" fitToPage="1" hiddenRows="1" hiddenColumns="1">
      <selection activeCell="V15" sqref="V15"/>
      <pageMargins left="0.7" right="0.7" top="0.75" bottom="0.75" header="0.3" footer="0.3"/>
      <pageSetup paperSize="9" scale="49" orientation="landscape" r:id="rId1"/>
    </customSheetView>
    <customSheetView guid="{1F97382E-80B0-473D-874E-BD5E60D01A4B}" scale="90" showGridLines="0" fitToPage="1" hiddenRows="1" hiddenColumns="1" topLeftCell="D1">
      <selection activeCell="AH11" sqref="AH11"/>
      <pageMargins left="0.7" right="0.7" top="0.75" bottom="0.75" header="0.3" footer="0.3"/>
      <pageSetup paperSize="9" scale="49" orientation="landscape" r:id="rId2"/>
    </customSheetView>
    <customSheetView guid="{7663FDEA-AE2F-416B-8123-1D493B6639C0}" scale="90" showGridLines="0" fitToPage="1" hiddenRows="1" hiddenColumns="1">
      <selection activeCell="AJ5" sqref="AJ5"/>
      <pageMargins left="0.7" right="0.7" top="0.75" bottom="0.75" header="0.3" footer="0.3"/>
      <pageSetup paperSize="9" scale="49" orientation="landscape" r:id="rId3"/>
    </customSheetView>
    <customSheetView guid="{C287C8AD-6E2E-4D5F-930B-C18EF9030790}" scale="90" showGridLines="0" fitToPage="1" hiddenRows="1" hiddenColumns="1">
      <selection activeCell="V15" sqref="V15"/>
      <pageMargins left="0.7" right="0.7" top="0.75" bottom="0.75" header="0.3" footer="0.3"/>
      <pageSetup paperSize="9" scale="49" orientation="landscape" r:id="rId4"/>
    </customSheetView>
  </customSheetViews>
  <mergeCells count="21">
    <mergeCell ref="I17:K17"/>
    <mergeCell ref="I19:K19"/>
    <mergeCell ref="I20:K20"/>
    <mergeCell ref="I21:K21"/>
    <mergeCell ref="I22:K22"/>
    <mergeCell ref="I16:K16"/>
    <mergeCell ref="A1:E1"/>
    <mergeCell ref="F1:Z1"/>
    <mergeCell ref="AA1:AJ1"/>
    <mergeCell ref="A4:E4"/>
    <mergeCell ref="F4:AT4"/>
    <mergeCell ref="D12:E12"/>
    <mergeCell ref="F15:H15"/>
    <mergeCell ref="I15:K15"/>
    <mergeCell ref="D22:H22"/>
    <mergeCell ref="C2:E2"/>
    <mergeCell ref="F17:H17"/>
    <mergeCell ref="D19:H19"/>
    <mergeCell ref="D20:H20"/>
    <mergeCell ref="D21:H21"/>
    <mergeCell ref="F16:H16"/>
  </mergeCells>
  <conditionalFormatting sqref="F9:AD9 F10:AE10 AG10 AJ10:AJ11 F11:AJ11 F5:AJ6 K5:M7 X5:AB7 AE5:AE7 AI5:AJ7 V6:V8 F7:AE8 AG7 F5:F7">
    <cfRule type="expression" dxfId="1286" priority="128">
      <formula>F$2="Sat"</formula>
    </cfRule>
  </conditionalFormatting>
  <conditionalFormatting sqref="F7:AI7 F10:AI10">
    <cfRule type="containsText" dxfId="1285" priority="17" operator="containsText" text="A">
      <formula>NOT(ISERROR(SEARCH("A",F7)))</formula>
    </cfRule>
  </conditionalFormatting>
  <conditionalFormatting sqref="F5:AJ6 F5:F7 K5:M7 X5:AB7 AE5:AE7 AI5:AJ7 V6:V8 AG7 F7:AE8 F9:AD9 F10:AE10 AG10 AJ10:AJ11 F11:AJ11">
    <cfRule type="expression" dxfId="1284" priority="129">
      <formula>F$2="Sun"</formula>
    </cfRule>
  </conditionalFormatting>
  <conditionalFormatting sqref="F5:AJ6 F5:F7 K5:M7 X5:AB7 AE5:AE7 AI5:AJ7 V6:V8 AJ10:AJ11">
    <cfRule type="containsText" dxfId="1283" priority="56" operator="containsText" text="A">
      <formula>NOT(ISERROR(SEARCH("A",F5)))</formula>
    </cfRule>
  </conditionalFormatting>
  <conditionalFormatting sqref="F8:AJ9">
    <cfRule type="containsText" dxfId="1282" priority="2" operator="containsText" text="A">
      <formula>NOT(ISERROR(SEARCH("A",F8)))</formula>
    </cfRule>
  </conditionalFormatting>
  <conditionalFormatting sqref="F11:AJ11">
    <cfRule type="containsText" dxfId="1281" priority="1" operator="containsText" text="A">
      <formula>NOT(ISERROR(SEARCH("A",F11)))</formula>
    </cfRule>
  </conditionalFormatting>
  <conditionalFormatting sqref="S5:U7">
    <cfRule type="containsText" dxfId="1280" priority="33" operator="containsText" text="A">
      <formula>NOT(ISERROR(SEARCH("A",S5)))</formula>
    </cfRule>
    <cfRule type="expression" dxfId="1279" priority="34">
      <formula>S$2="Sat"</formula>
    </cfRule>
    <cfRule type="expression" dxfId="1278" priority="35">
      <formula>S$2="Sun"</formula>
    </cfRule>
  </conditionalFormatting>
  <conditionalFormatting sqref="T9:AD9 T10:AE10 T11:AJ11 AG10">
    <cfRule type="expression" dxfId="1277" priority="105">
      <formula>T$2="Sat"</formula>
    </cfRule>
  </conditionalFormatting>
  <conditionalFormatting sqref="T9:AD9 T10:AE10 AG10 T11:AJ11">
    <cfRule type="expression" dxfId="1276" priority="106">
      <formula>T$2="Sun"</formula>
    </cfRule>
  </conditionalFormatting>
  <conditionalFormatting sqref="T7:AE8 T5:AJ6 AI5:AJ7 N7:AE7 X5:AB7 AE5:AE7 L5:R11 V6:V8 V7:W9">
    <cfRule type="expression" dxfId="1275" priority="57">
      <formula>L$2="Sat"</formula>
    </cfRule>
  </conditionalFormatting>
  <conditionalFormatting sqref="T5:AJ6 X5:AB7 AE5:AE7 AI5:AJ7 L5:R11 V6:V8 N7:AE7 T7:AE8 V7:W9">
    <cfRule type="expression" dxfId="1274" priority="58">
      <formula>L$2="Sun"</formula>
    </cfRule>
  </conditionalFormatting>
  <conditionalFormatting sqref="U8:U11">
    <cfRule type="expression" dxfId="1273" priority="55">
      <formula>U$2="Sun"</formula>
    </cfRule>
    <cfRule type="expression" dxfId="1272" priority="54">
      <formula>U$2="Sat"</formula>
    </cfRule>
  </conditionalFormatting>
  <conditionalFormatting sqref="X7:AG7 X8:AF8 X10:AG10">
    <cfRule type="expression" dxfId="1271" priority="27">
      <formula>X$2="Sat"</formula>
    </cfRule>
  </conditionalFormatting>
  <conditionalFormatting sqref="X9:AJ9">
    <cfRule type="expression" dxfId="1270" priority="8">
      <formula>X$2="Sat"</formula>
    </cfRule>
    <cfRule type="expression" dxfId="1269" priority="9">
      <formula>X$2="Sun"</formula>
    </cfRule>
  </conditionalFormatting>
  <conditionalFormatting sqref="Z6:AA6 AA6:AA7">
    <cfRule type="containsText" dxfId="1268" priority="110" operator="containsText" text="A">
      <formula>NOT(ISERROR(SEARCH("A",Z6)))</formula>
    </cfRule>
  </conditionalFormatting>
  <conditionalFormatting sqref="AB9:AD10">
    <cfRule type="containsText" dxfId="1267" priority="32" operator="containsText" text="A">
      <formula>NOT(ISERROR(SEARCH("A",AB9)))</formula>
    </cfRule>
  </conditionalFormatting>
  <conditionalFormatting sqref="AE9:AJ9">
    <cfRule type="expression" dxfId="1266" priority="5">
      <formula>AE$2="Sun"</formula>
    </cfRule>
    <cfRule type="expression" dxfId="1265" priority="6">
      <formula>AE$2="Sat"</formula>
    </cfRule>
    <cfRule type="expression" dxfId="1264" priority="7">
      <formula>AE$2="Sun"</formula>
    </cfRule>
    <cfRule type="expression" dxfId="1263" priority="3">
      <formula>AE$2="Sat"</formula>
    </cfRule>
  </conditionalFormatting>
  <conditionalFormatting sqref="AF7:AF8 AF10">
    <cfRule type="expression" dxfId="1262" priority="26">
      <formula>AF$2="Sun"</formula>
    </cfRule>
    <cfRule type="expression" dxfId="1261" priority="25">
      <formula>AF$2="Sat"</formula>
    </cfRule>
  </conditionalFormatting>
  <conditionalFormatting sqref="AF7:AG7 AF8 X10:AG10">
    <cfRule type="expression" dxfId="1260" priority="28">
      <formula>X$2="Sun"</formula>
    </cfRule>
  </conditionalFormatting>
  <conditionalFormatting sqref="AG5:AG6">
    <cfRule type="expression" dxfId="1259" priority="22">
      <formula>AG$2="Sat"</formula>
    </cfRule>
    <cfRule type="expression" dxfId="1258" priority="23">
      <formula>AG$2="Sun"</formula>
    </cfRule>
  </conditionalFormatting>
  <conditionalFormatting sqref="AG8:AJ8">
    <cfRule type="expression" dxfId="1257" priority="16">
      <formula>AG$2="Sun"</formula>
    </cfRule>
    <cfRule type="expression" dxfId="1256" priority="15">
      <formula>AG$2="Sat"</formula>
    </cfRule>
    <cfRule type="expression" dxfId="1255" priority="14">
      <formula>AG$2="Sun"</formula>
    </cfRule>
    <cfRule type="expression" dxfId="1254" priority="11">
      <formula>AG$2="Sat"</formula>
    </cfRule>
  </conditionalFormatting>
  <conditionalFormatting sqref="AH7:AI7 AH10:AI10">
    <cfRule type="expression" dxfId="1253" priority="19">
      <formula>AH$2="Sun"</formula>
    </cfRule>
    <cfRule type="expression" dxfId="1252" priority="18">
      <formula>AH$2="Sat"</formula>
    </cfRule>
  </conditionalFormatting>
  <conditionalFormatting sqref="AH7:AJ7 AH10:AI10">
    <cfRule type="expression" dxfId="1251" priority="21">
      <formula>AH$2="Sun"</formula>
    </cfRule>
    <cfRule type="expression" dxfId="1250" priority="20">
      <formula>AH$2="Sat"</formula>
    </cfRule>
  </conditionalFormatting>
  <conditionalFormatting sqref="AI5:AJ7">
    <cfRule type="expression" dxfId="1249" priority="44">
      <formula>AI$2="Sat"</formula>
    </cfRule>
    <cfRule type="expression" dxfId="1248" priority="45">
      <formula>AI$2="Sun"</formula>
    </cfRule>
  </conditionalFormatting>
  <conditionalFormatting sqref="AJ5:AJ7 AJ10:AJ11">
    <cfRule type="expression" dxfId="1247" priority="1557">
      <formula>AJ$2="Sat"</formula>
    </cfRule>
    <cfRule type="expression" dxfId="1246" priority="1558">
      <formula>AJ$2="Sun"</formula>
    </cfRule>
    <cfRule type="uniqueValues" dxfId="1245" priority="1559"/>
  </conditionalFormatting>
  <conditionalFormatting sqref="AJ10:AJ11">
    <cfRule type="expression" dxfId="1244" priority="31">
      <formula>AJ$2="Sun"</formula>
    </cfRule>
    <cfRule type="expression" dxfId="1243" priority="30">
      <formula>AJ$2="Sat"</formula>
    </cfRule>
  </conditionalFormatting>
  <dataValidations count="2">
    <dataValidation type="list" allowBlank="1" showInputMessage="1" showErrorMessage="1" sqref="F5:AJ11" xr:uid="{00000000-0002-0000-0E00-000000000000}">
      <formula1>"A,P,P12,WO,HD,OJT"</formula1>
    </dataValidation>
    <dataValidation type="list" allowBlank="1" showInputMessage="1" showErrorMessage="1" sqref="D5:D11" xr:uid="{00000000-0002-0000-0E00-000001000000}">
      <formula1>Designation</formula1>
    </dataValidation>
  </dataValidations>
  <pageMargins left="0.7" right="0.7" top="0.75" bottom="0.75" header="0.3" footer="0.3"/>
  <pageSetup paperSize="9" scale="49" orientation="landscape" r:id="rId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AU32"/>
  <sheetViews>
    <sheetView showGridLines="0" zoomScale="85" zoomScaleNormal="85" workbookViewId="0">
      <selection sqref="A1:D1"/>
    </sheetView>
  </sheetViews>
  <sheetFormatPr defaultColWidth="0" defaultRowHeight="15"/>
  <cols>
    <col min="1" max="1" width="9.140625" customWidth="1"/>
    <col min="2" max="2" width="35" bestFit="1" customWidth="1"/>
    <col min="3" max="3" width="11.42578125" customWidth="1"/>
    <col min="4" max="4" width="8.140625" customWidth="1"/>
    <col min="5" max="5" width="4.140625" style="7" bestFit="1" customWidth="1"/>
    <col min="6" max="17" width="4.140625" customWidth="1"/>
    <col min="18" max="18" width="3.7109375" bestFit="1" customWidth="1"/>
    <col min="19" max="19" width="4" customWidth="1"/>
    <col min="20" max="20" width="4.28515625" bestFit="1" customWidth="1"/>
    <col min="21" max="22" width="3.7109375" bestFit="1" customWidth="1"/>
    <col min="23" max="25" width="4.140625" customWidth="1"/>
    <col min="26" max="27" width="4.28515625" customWidth="1"/>
    <col min="28" max="35" width="4.140625" customWidth="1"/>
    <col min="36" max="36" width="7.42578125" bestFit="1" customWidth="1"/>
    <col min="37" max="37" width="4.5703125" customWidth="1"/>
    <col min="38" max="39" width="4.140625" customWidth="1"/>
    <col min="40" max="40" width="9.42578125" customWidth="1"/>
    <col min="41" max="41" width="7.85546875" customWidth="1"/>
    <col min="42" max="42" width="6.85546875" customWidth="1"/>
    <col min="43" max="43" width="9.7109375" customWidth="1"/>
    <col min="44" max="44" width="14.42578125" customWidth="1"/>
    <col min="45" max="45" width="10.5703125" customWidth="1"/>
    <col min="46" max="47" width="9.140625" customWidth="1"/>
    <col min="48" max="16384" width="9.140625" hidden="1"/>
  </cols>
  <sheetData>
    <row r="1" spans="1:45" ht="25.5">
      <c r="A1" s="420" t="s">
        <v>90</v>
      </c>
      <c r="B1" s="421"/>
      <c r="C1" s="421"/>
      <c r="D1" s="422"/>
      <c r="E1" s="428" t="s">
        <v>198</v>
      </c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  <c r="U1" s="429"/>
      <c r="V1" s="429"/>
      <c r="W1" s="429"/>
      <c r="X1" s="429"/>
      <c r="Y1" s="429"/>
      <c r="Z1" s="419">
        <f>Summary!R4</f>
        <v>46054</v>
      </c>
      <c r="AA1" s="419"/>
      <c r="AB1" s="419"/>
      <c r="AC1" s="419"/>
      <c r="AD1" s="419"/>
      <c r="AE1" s="419"/>
      <c r="AF1" s="419"/>
      <c r="AG1" s="419"/>
      <c r="AH1" s="419"/>
      <c r="AI1" s="419"/>
    </row>
    <row r="2" spans="1:45" ht="27">
      <c r="A2" s="9" t="s">
        <v>0</v>
      </c>
      <c r="B2" s="312">
        <v>24</v>
      </c>
      <c r="C2" s="240"/>
      <c r="D2" s="240"/>
      <c r="E2" s="8" t="str">
        <f>TEXT(E3,"ddd")</f>
        <v>Sun</v>
      </c>
      <c r="F2" s="8" t="str">
        <f t="shared" ref="F2:AI2" si="0">TEXT(F3,"ddd")</f>
        <v>Mon</v>
      </c>
      <c r="G2" s="8" t="str">
        <f t="shared" si="0"/>
        <v>Tue</v>
      </c>
      <c r="H2" s="8" t="str">
        <f t="shared" si="0"/>
        <v>Wed</v>
      </c>
      <c r="I2" s="8" t="str">
        <f t="shared" si="0"/>
        <v>Thu</v>
      </c>
      <c r="J2" s="8" t="str">
        <f t="shared" si="0"/>
        <v>Fri</v>
      </c>
      <c r="K2" s="8" t="str">
        <f t="shared" si="0"/>
        <v>Sat</v>
      </c>
      <c r="L2" s="8" t="str">
        <f t="shared" si="0"/>
        <v>Sun</v>
      </c>
      <c r="M2" s="8" t="str">
        <f t="shared" si="0"/>
        <v>Mon</v>
      </c>
      <c r="N2" s="8" t="str">
        <f t="shared" si="0"/>
        <v>Tue</v>
      </c>
      <c r="O2" s="8" t="str">
        <f t="shared" si="0"/>
        <v>Wed</v>
      </c>
      <c r="P2" s="8" t="str">
        <f t="shared" si="0"/>
        <v>Thu</v>
      </c>
      <c r="Q2" s="8" t="str">
        <f t="shared" si="0"/>
        <v>Fri</v>
      </c>
      <c r="R2" s="8" t="str">
        <f t="shared" si="0"/>
        <v>Sat</v>
      </c>
      <c r="S2" s="8" t="str">
        <f t="shared" si="0"/>
        <v>Sun</v>
      </c>
      <c r="T2" s="8" t="str">
        <f t="shared" si="0"/>
        <v>Mon</v>
      </c>
      <c r="U2" s="8" t="str">
        <f t="shared" si="0"/>
        <v>Tue</v>
      </c>
      <c r="V2" s="8" t="str">
        <f t="shared" si="0"/>
        <v>Wed</v>
      </c>
      <c r="W2" s="8" t="str">
        <f t="shared" si="0"/>
        <v>Thu</v>
      </c>
      <c r="X2" s="8" t="str">
        <f t="shared" si="0"/>
        <v>Fri</v>
      </c>
      <c r="Y2" s="8" t="str">
        <f t="shared" si="0"/>
        <v>Sat</v>
      </c>
      <c r="Z2" s="8" t="str">
        <f t="shared" si="0"/>
        <v>Sun</v>
      </c>
      <c r="AA2" s="8" t="str">
        <f t="shared" si="0"/>
        <v>Mon</v>
      </c>
      <c r="AB2" s="8" t="str">
        <f t="shared" si="0"/>
        <v>Tue</v>
      </c>
      <c r="AC2" s="8" t="str">
        <f t="shared" si="0"/>
        <v>Wed</v>
      </c>
      <c r="AD2" s="8" t="str">
        <f t="shared" si="0"/>
        <v>Thu</v>
      </c>
      <c r="AE2" s="8" t="str">
        <f t="shared" si="0"/>
        <v>Fri</v>
      </c>
      <c r="AF2" s="8" t="str">
        <f t="shared" si="0"/>
        <v>Sat</v>
      </c>
      <c r="AG2" s="8" t="str">
        <f t="shared" si="0"/>
        <v>Sun</v>
      </c>
      <c r="AH2" s="8" t="str">
        <f t="shared" si="0"/>
        <v>Mon</v>
      </c>
      <c r="AI2" s="8" t="str">
        <f t="shared" si="0"/>
        <v>Tue</v>
      </c>
      <c r="AJ2" s="423"/>
      <c r="AK2" s="423"/>
      <c r="AL2" s="423"/>
      <c r="AM2" s="423"/>
      <c r="AN2" s="423"/>
      <c r="AO2" s="423"/>
      <c r="AP2" s="423"/>
      <c r="AQ2" s="423"/>
    </row>
    <row r="3" spans="1:45" ht="51.75">
      <c r="A3" s="27" t="s">
        <v>71</v>
      </c>
      <c r="B3" s="27" t="s">
        <v>72</v>
      </c>
      <c r="C3" s="28" t="s">
        <v>73</v>
      </c>
      <c r="D3" s="28" t="s">
        <v>74</v>
      </c>
      <c r="E3" s="11">
        <f>Z1</f>
        <v>46054</v>
      </c>
      <c r="F3" s="11">
        <f>E3+1</f>
        <v>46055</v>
      </c>
      <c r="G3" s="11">
        <f t="shared" ref="G3:AI3" si="1">F3+1</f>
        <v>46056</v>
      </c>
      <c r="H3" s="11">
        <f t="shared" si="1"/>
        <v>46057</v>
      </c>
      <c r="I3" s="11">
        <f t="shared" si="1"/>
        <v>46058</v>
      </c>
      <c r="J3" s="11">
        <f t="shared" si="1"/>
        <v>46059</v>
      </c>
      <c r="K3" s="11">
        <f t="shared" si="1"/>
        <v>46060</v>
      </c>
      <c r="L3" s="11">
        <f t="shared" si="1"/>
        <v>46061</v>
      </c>
      <c r="M3" s="11">
        <f t="shared" si="1"/>
        <v>46062</v>
      </c>
      <c r="N3" s="11">
        <f t="shared" si="1"/>
        <v>46063</v>
      </c>
      <c r="O3" s="11">
        <f t="shared" si="1"/>
        <v>46064</v>
      </c>
      <c r="P3" s="11">
        <f t="shared" si="1"/>
        <v>46065</v>
      </c>
      <c r="Q3" s="11">
        <f t="shared" si="1"/>
        <v>46066</v>
      </c>
      <c r="R3" s="11">
        <f t="shared" si="1"/>
        <v>46067</v>
      </c>
      <c r="S3" s="11">
        <f t="shared" si="1"/>
        <v>46068</v>
      </c>
      <c r="T3" s="11">
        <f t="shared" si="1"/>
        <v>46069</v>
      </c>
      <c r="U3" s="11">
        <f t="shared" si="1"/>
        <v>46070</v>
      </c>
      <c r="V3" s="11">
        <f t="shared" si="1"/>
        <v>46071</v>
      </c>
      <c r="W3" s="11">
        <f t="shared" si="1"/>
        <v>46072</v>
      </c>
      <c r="X3" s="11">
        <f t="shared" si="1"/>
        <v>46073</v>
      </c>
      <c r="Y3" s="11">
        <f t="shared" si="1"/>
        <v>46074</v>
      </c>
      <c r="Z3" s="11">
        <f t="shared" si="1"/>
        <v>46075</v>
      </c>
      <c r="AA3" s="11">
        <f t="shared" si="1"/>
        <v>46076</v>
      </c>
      <c r="AB3" s="11">
        <f t="shared" si="1"/>
        <v>46077</v>
      </c>
      <c r="AC3" s="11">
        <f t="shared" si="1"/>
        <v>46078</v>
      </c>
      <c r="AD3" s="11">
        <f t="shared" si="1"/>
        <v>46079</v>
      </c>
      <c r="AE3" s="11">
        <f t="shared" si="1"/>
        <v>46080</v>
      </c>
      <c r="AF3" s="11">
        <f t="shared" si="1"/>
        <v>46081</v>
      </c>
      <c r="AG3" s="11">
        <f t="shared" si="1"/>
        <v>46082</v>
      </c>
      <c r="AH3" s="11">
        <f t="shared" si="1"/>
        <v>46083</v>
      </c>
      <c r="AI3" s="11">
        <f t="shared" si="1"/>
        <v>46084</v>
      </c>
      <c r="AJ3" s="8" t="s">
        <v>75</v>
      </c>
      <c r="AK3" s="8" t="s">
        <v>76</v>
      </c>
      <c r="AL3" s="8" t="s">
        <v>77</v>
      </c>
      <c r="AM3" s="8" t="s">
        <v>78</v>
      </c>
      <c r="AN3" s="12" t="s">
        <v>79</v>
      </c>
      <c r="AO3" s="12" t="s">
        <v>80</v>
      </c>
      <c r="AP3" s="12" t="s">
        <v>81</v>
      </c>
      <c r="AQ3" s="12" t="s">
        <v>82</v>
      </c>
      <c r="AR3" s="12" t="s">
        <v>83</v>
      </c>
      <c r="AS3" s="12" t="s">
        <v>63</v>
      </c>
    </row>
    <row r="4" spans="1:45" ht="15" customHeight="1">
      <c r="A4" s="426" t="str">
        <f>Summary!R5</f>
        <v>SOC</v>
      </c>
      <c r="B4" s="427"/>
      <c r="C4" s="10"/>
      <c r="D4" s="10"/>
      <c r="E4" s="424"/>
      <c r="F4" s="412"/>
      <c r="G4" s="412"/>
      <c r="H4" s="412"/>
      <c r="I4" s="412"/>
      <c r="J4" s="412"/>
      <c r="K4" s="412"/>
      <c r="L4" s="412"/>
      <c r="M4" s="412"/>
      <c r="N4" s="412"/>
      <c r="O4" s="412"/>
      <c r="P4" s="412"/>
      <c r="Q4" s="412"/>
      <c r="R4" s="412"/>
      <c r="S4" s="412"/>
      <c r="T4" s="412"/>
      <c r="U4" s="412"/>
      <c r="V4" s="412"/>
      <c r="W4" s="412"/>
      <c r="X4" s="412"/>
      <c r="Y4" s="412"/>
      <c r="Z4" s="412"/>
      <c r="AA4" s="412"/>
      <c r="AB4" s="412"/>
      <c r="AC4" s="412"/>
      <c r="AD4" s="412"/>
      <c r="AE4" s="412"/>
      <c r="AF4" s="412"/>
      <c r="AG4" s="412"/>
      <c r="AH4" s="412"/>
      <c r="AI4" s="412"/>
      <c r="AJ4" s="412"/>
      <c r="AK4" s="412"/>
      <c r="AL4" s="412"/>
      <c r="AM4" s="412"/>
      <c r="AN4" s="412"/>
      <c r="AO4" s="412"/>
      <c r="AP4" s="412"/>
      <c r="AQ4" s="412"/>
      <c r="AR4" s="412"/>
      <c r="AS4" s="412"/>
    </row>
    <row r="5" spans="1:45" ht="18">
      <c r="A5" s="287">
        <v>1</v>
      </c>
      <c r="B5" s="288" t="s">
        <v>91</v>
      </c>
      <c r="C5" s="289" t="s">
        <v>186</v>
      </c>
      <c r="D5" s="52">
        <f>19220/$B$2</f>
        <v>800.83333333333337</v>
      </c>
      <c r="E5" s="51" t="s">
        <v>77</v>
      </c>
      <c r="F5" s="51" t="s">
        <v>478</v>
      </c>
      <c r="G5" s="17" t="s">
        <v>478</v>
      </c>
      <c r="H5" s="17" t="s">
        <v>478</v>
      </c>
      <c r="I5" s="17" t="s">
        <v>478</v>
      </c>
      <c r="J5" s="17" t="s">
        <v>478</v>
      </c>
      <c r="K5" s="17" t="s">
        <v>478</v>
      </c>
      <c r="L5" s="17" t="s">
        <v>77</v>
      </c>
      <c r="M5" s="17" t="s">
        <v>478</v>
      </c>
      <c r="N5" s="17" t="s">
        <v>478</v>
      </c>
      <c r="O5" s="17" t="s">
        <v>478</v>
      </c>
      <c r="P5" s="17" t="s">
        <v>478</v>
      </c>
      <c r="Q5" s="17" t="s">
        <v>478</v>
      </c>
      <c r="R5" s="17" t="s">
        <v>77</v>
      </c>
      <c r="S5" s="17" t="s">
        <v>478</v>
      </c>
      <c r="T5" s="17" t="s">
        <v>478</v>
      </c>
      <c r="U5" s="17" t="s">
        <v>478</v>
      </c>
      <c r="V5" s="17" t="s">
        <v>478</v>
      </c>
      <c r="W5" s="47"/>
      <c r="X5" s="17"/>
      <c r="Y5" s="17"/>
      <c r="Z5" s="17"/>
      <c r="AA5" s="17"/>
      <c r="AB5" s="17"/>
      <c r="AC5" s="17"/>
      <c r="AD5" s="17"/>
      <c r="AE5" s="51"/>
      <c r="AF5" s="51"/>
      <c r="AG5" s="51"/>
      <c r="AH5" s="51"/>
      <c r="AI5" s="51"/>
      <c r="AJ5" s="299">
        <f t="shared" ref="AJ5:AJ13" si="2">COUNTIF(E5:AI5,"P*")</f>
        <v>15</v>
      </c>
      <c r="AK5" s="299">
        <f t="shared" ref="AK5:AK13" si="3">COUNTIF(E5:AI5,"A")</f>
        <v>0</v>
      </c>
      <c r="AL5" s="299">
        <f t="shared" ref="AL5:AL13" si="4">COUNTIF(E5:AI5,"WO")</f>
        <v>3</v>
      </c>
      <c r="AM5" s="299">
        <f t="shared" ref="AM5:AM13" si="5">COUNTIF(E5:AI5,"HD")</f>
        <v>0</v>
      </c>
      <c r="AN5" s="299">
        <f>AJ5+AM5</f>
        <v>15</v>
      </c>
      <c r="AO5" s="299">
        <f t="shared" ref="AO5:AO13" si="6">(COUNTIF(E5:AI5,"P12")*12)</f>
        <v>0</v>
      </c>
      <c r="AP5" s="299">
        <f t="shared" ref="AP5:AP6" si="7">AO5/12</f>
        <v>0</v>
      </c>
      <c r="AQ5" s="299">
        <f t="shared" ref="AQ5:AQ8" si="8">AN5+AP5</f>
        <v>15</v>
      </c>
      <c r="AR5" s="300">
        <f t="shared" ref="AR5:AR13" si="9">AQ5*D5</f>
        <v>12012.5</v>
      </c>
      <c r="AS5" s="301"/>
    </row>
    <row r="6" spans="1:45" ht="18">
      <c r="A6" s="287">
        <v>2</v>
      </c>
      <c r="B6" s="288" t="s">
        <v>244</v>
      </c>
      <c r="C6" s="289" t="s">
        <v>186</v>
      </c>
      <c r="D6" s="52">
        <f t="shared" ref="D6:D15" si="10">19220/$B$2</f>
        <v>800.83333333333337</v>
      </c>
      <c r="E6" s="51" t="s">
        <v>77</v>
      </c>
      <c r="F6" s="51" t="s">
        <v>478</v>
      </c>
      <c r="G6" s="17" t="s">
        <v>478</v>
      </c>
      <c r="H6" s="17" t="s">
        <v>478</v>
      </c>
      <c r="I6" s="17" t="s">
        <v>478</v>
      </c>
      <c r="J6" s="17" t="s">
        <v>478</v>
      </c>
      <c r="K6" s="17" t="s">
        <v>77</v>
      </c>
      <c r="L6" s="17" t="s">
        <v>478</v>
      </c>
      <c r="M6" s="17" t="s">
        <v>478</v>
      </c>
      <c r="N6" s="17" t="s">
        <v>478</v>
      </c>
      <c r="O6" s="17" t="s">
        <v>478</v>
      </c>
      <c r="P6" s="17" t="s">
        <v>478</v>
      </c>
      <c r="Q6" s="17" t="s">
        <v>478</v>
      </c>
      <c r="R6" s="17" t="s">
        <v>77</v>
      </c>
      <c r="S6" s="17" t="s">
        <v>478</v>
      </c>
      <c r="T6" s="17" t="s">
        <v>478</v>
      </c>
      <c r="U6" s="17" t="s">
        <v>478</v>
      </c>
      <c r="V6" s="17"/>
      <c r="W6" s="47"/>
      <c r="X6" s="17"/>
      <c r="Y6" s="17"/>
      <c r="Z6" s="318"/>
      <c r="AA6" s="17"/>
      <c r="AB6" s="17"/>
      <c r="AC6" s="17"/>
      <c r="AD6" s="17"/>
      <c r="AE6" s="17"/>
      <c r="AF6" s="51"/>
      <c r="AG6" s="51"/>
      <c r="AH6" s="51"/>
      <c r="AI6" s="51"/>
      <c r="AJ6" s="299">
        <f t="shared" si="2"/>
        <v>14</v>
      </c>
      <c r="AK6" s="299">
        <f t="shared" si="3"/>
        <v>0</v>
      </c>
      <c r="AL6" s="299">
        <f t="shared" si="4"/>
        <v>3</v>
      </c>
      <c r="AM6" s="299">
        <f t="shared" si="5"/>
        <v>0</v>
      </c>
      <c r="AN6" s="299">
        <f t="shared" ref="AN6:AN8" si="11">AJ6+AM6</f>
        <v>14</v>
      </c>
      <c r="AO6" s="299">
        <f t="shared" si="6"/>
        <v>0</v>
      </c>
      <c r="AP6" s="299">
        <f t="shared" si="7"/>
        <v>0</v>
      </c>
      <c r="AQ6" s="299">
        <f t="shared" si="8"/>
        <v>14</v>
      </c>
      <c r="AR6" s="300">
        <f t="shared" si="9"/>
        <v>11211.666666666668</v>
      </c>
      <c r="AS6" s="301"/>
    </row>
    <row r="7" spans="1:45" ht="18">
      <c r="A7" s="287">
        <v>3</v>
      </c>
      <c r="B7" s="290" t="s">
        <v>456</v>
      </c>
      <c r="C7" s="289" t="s">
        <v>186</v>
      </c>
      <c r="D7" s="52">
        <f t="shared" si="10"/>
        <v>800.83333333333337</v>
      </c>
      <c r="E7" s="51" t="s">
        <v>77</v>
      </c>
      <c r="F7" s="51" t="s">
        <v>478</v>
      </c>
      <c r="G7" s="17" t="s">
        <v>478</v>
      </c>
      <c r="H7" s="17" t="s">
        <v>478</v>
      </c>
      <c r="I7" s="17" t="s">
        <v>478</v>
      </c>
      <c r="J7" s="17" t="s">
        <v>478</v>
      </c>
      <c r="K7" s="17" t="s">
        <v>77</v>
      </c>
      <c r="L7" s="17" t="s">
        <v>478</v>
      </c>
      <c r="M7" s="17" t="s">
        <v>478</v>
      </c>
      <c r="N7" s="17" t="s">
        <v>478</v>
      </c>
      <c r="O7" s="17" t="s">
        <v>478</v>
      </c>
      <c r="P7" s="17" t="s">
        <v>478</v>
      </c>
      <c r="Q7" s="17" t="s">
        <v>478</v>
      </c>
      <c r="R7" s="17" t="s">
        <v>478</v>
      </c>
      <c r="S7" s="17" t="s">
        <v>77</v>
      </c>
      <c r="T7" s="17" t="s">
        <v>478</v>
      </c>
      <c r="U7" s="17" t="s">
        <v>478</v>
      </c>
      <c r="V7" s="17" t="s">
        <v>478</v>
      </c>
      <c r="W7" s="47"/>
      <c r="X7" s="17"/>
      <c r="Y7" s="17"/>
      <c r="Z7" s="17"/>
      <c r="AA7" s="17"/>
      <c r="AB7" s="17"/>
      <c r="AC7" s="17"/>
      <c r="AD7" s="17"/>
      <c r="AE7" s="17"/>
      <c r="AF7" s="51"/>
      <c r="AG7" s="51"/>
      <c r="AH7" s="51"/>
      <c r="AI7" s="51"/>
      <c r="AJ7" s="299">
        <f t="shared" si="2"/>
        <v>15</v>
      </c>
      <c r="AK7" s="299">
        <f t="shared" si="3"/>
        <v>0</v>
      </c>
      <c r="AL7" s="299">
        <f t="shared" si="4"/>
        <v>3</v>
      </c>
      <c r="AM7" s="299">
        <f t="shared" si="5"/>
        <v>0</v>
      </c>
      <c r="AN7" s="299">
        <f t="shared" si="11"/>
        <v>15</v>
      </c>
      <c r="AO7" s="299">
        <f t="shared" si="6"/>
        <v>0</v>
      </c>
      <c r="AP7" s="299">
        <f>AO7/12</f>
        <v>0</v>
      </c>
      <c r="AQ7" s="299">
        <f t="shared" si="8"/>
        <v>15</v>
      </c>
      <c r="AR7" s="300">
        <f t="shared" si="9"/>
        <v>12012.5</v>
      </c>
      <c r="AS7" s="301"/>
    </row>
    <row r="8" spans="1:45" ht="18">
      <c r="A8" s="287">
        <v>4</v>
      </c>
      <c r="B8" s="290" t="s">
        <v>444</v>
      </c>
      <c r="C8" s="289" t="s">
        <v>186</v>
      </c>
      <c r="D8" s="52">
        <f t="shared" si="10"/>
        <v>800.83333333333337</v>
      </c>
      <c r="E8" s="51" t="s">
        <v>77</v>
      </c>
      <c r="F8" s="51" t="s">
        <v>478</v>
      </c>
      <c r="G8" s="17" t="s">
        <v>478</v>
      </c>
      <c r="H8" s="17" t="s">
        <v>478</v>
      </c>
      <c r="I8" s="17" t="s">
        <v>478</v>
      </c>
      <c r="J8" s="17" t="s">
        <v>478</v>
      </c>
      <c r="K8" s="17" t="s">
        <v>478</v>
      </c>
      <c r="L8" s="17" t="s">
        <v>77</v>
      </c>
      <c r="M8" s="17" t="s">
        <v>478</v>
      </c>
      <c r="N8" s="17" t="s">
        <v>478</v>
      </c>
      <c r="O8" s="17" t="s">
        <v>478</v>
      </c>
      <c r="P8" s="17" t="s">
        <v>478</v>
      </c>
      <c r="Q8" s="17" t="s">
        <v>478</v>
      </c>
      <c r="R8" s="17" t="s">
        <v>478</v>
      </c>
      <c r="S8" s="17" t="s">
        <v>77</v>
      </c>
      <c r="T8" s="17" t="s">
        <v>478</v>
      </c>
      <c r="U8" s="17" t="s">
        <v>478</v>
      </c>
      <c r="V8" s="17"/>
      <c r="W8" s="17"/>
      <c r="X8" s="17"/>
      <c r="Y8" s="17"/>
      <c r="Z8" s="17"/>
      <c r="AA8" s="17"/>
      <c r="AB8" s="17"/>
      <c r="AC8" s="17"/>
      <c r="AD8" s="17"/>
      <c r="AE8" s="17"/>
      <c r="AF8" s="51"/>
      <c r="AG8" s="51"/>
      <c r="AH8" s="51"/>
      <c r="AI8" s="51"/>
      <c r="AJ8" s="299">
        <f t="shared" si="2"/>
        <v>14</v>
      </c>
      <c r="AK8" s="299">
        <f t="shared" si="3"/>
        <v>0</v>
      </c>
      <c r="AL8" s="299">
        <f t="shared" si="4"/>
        <v>3</v>
      </c>
      <c r="AM8" s="299">
        <f t="shared" si="5"/>
        <v>0</v>
      </c>
      <c r="AN8" s="299">
        <f t="shared" si="11"/>
        <v>14</v>
      </c>
      <c r="AO8" s="299">
        <f t="shared" si="6"/>
        <v>0</v>
      </c>
      <c r="AP8" s="299">
        <f>AO8/12</f>
        <v>0</v>
      </c>
      <c r="AQ8" s="299">
        <f t="shared" si="8"/>
        <v>14</v>
      </c>
      <c r="AR8" s="300">
        <f t="shared" si="9"/>
        <v>11211.666666666668</v>
      </c>
      <c r="AS8" s="301"/>
    </row>
    <row r="9" spans="1:45" ht="18">
      <c r="A9" s="287">
        <v>5</v>
      </c>
      <c r="B9" s="290" t="s">
        <v>469</v>
      </c>
      <c r="C9" s="286" t="s">
        <v>185</v>
      </c>
      <c r="D9" s="52">
        <f t="shared" si="10"/>
        <v>800.83333333333337</v>
      </c>
      <c r="E9" s="51" t="s">
        <v>77</v>
      </c>
      <c r="F9" s="17" t="s">
        <v>478</v>
      </c>
      <c r="G9" s="17" t="s">
        <v>478</v>
      </c>
      <c r="H9" s="17" t="s">
        <v>478</v>
      </c>
      <c r="I9" s="17" t="s">
        <v>478</v>
      </c>
      <c r="J9" s="17" t="s">
        <v>478</v>
      </c>
      <c r="K9" s="17" t="s">
        <v>77</v>
      </c>
      <c r="L9" s="17" t="s">
        <v>478</v>
      </c>
      <c r="M9" s="17" t="s">
        <v>478</v>
      </c>
      <c r="N9" s="17" t="s">
        <v>478</v>
      </c>
      <c r="O9" s="17" t="s">
        <v>478</v>
      </c>
      <c r="P9" s="17" t="s">
        <v>478</v>
      </c>
      <c r="Q9" s="17" t="s">
        <v>478</v>
      </c>
      <c r="R9" s="17" t="s">
        <v>77</v>
      </c>
      <c r="S9" s="17" t="s">
        <v>478</v>
      </c>
      <c r="T9" s="17" t="s">
        <v>478</v>
      </c>
      <c r="U9" s="17" t="s">
        <v>478</v>
      </c>
      <c r="V9" s="17" t="s">
        <v>478</v>
      </c>
      <c r="W9" s="17"/>
      <c r="X9" s="17"/>
      <c r="Y9" s="17"/>
      <c r="Z9" s="17"/>
      <c r="AA9" s="17"/>
      <c r="AB9" s="17"/>
      <c r="AC9" s="17"/>
      <c r="AD9" s="17"/>
      <c r="AE9" s="17"/>
      <c r="AF9" s="51"/>
      <c r="AG9" s="17"/>
      <c r="AH9" s="51"/>
      <c r="AI9" s="51"/>
      <c r="AJ9" s="299">
        <f t="shared" si="2"/>
        <v>15</v>
      </c>
      <c r="AK9" s="299">
        <f t="shared" si="3"/>
        <v>0</v>
      </c>
      <c r="AL9" s="299">
        <f t="shared" si="4"/>
        <v>3</v>
      </c>
      <c r="AM9" s="299">
        <f t="shared" si="5"/>
        <v>0</v>
      </c>
      <c r="AN9" s="299">
        <f t="shared" ref="AN9:AN10" si="12">AJ9+AM9</f>
        <v>15</v>
      </c>
      <c r="AO9" s="299">
        <f t="shared" si="6"/>
        <v>0</v>
      </c>
      <c r="AP9" s="299">
        <f t="shared" ref="AP9:AP10" si="13">AO9/12</f>
        <v>0</v>
      </c>
      <c r="AQ9" s="299">
        <f t="shared" ref="AQ9:AQ10" si="14">AN9+AP9</f>
        <v>15</v>
      </c>
      <c r="AR9" s="300">
        <f t="shared" si="9"/>
        <v>12012.5</v>
      </c>
      <c r="AS9" s="301"/>
    </row>
    <row r="10" spans="1:45" ht="18">
      <c r="A10" s="287">
        <v>6</v>
      </c>
      <c r="B10" s="290" t="s">
        <v>458</v>
      </c>
      <c r="C10" s="286" t="s">
        <v>185</v>
      </c>
      <c r="D10" s="52">
        <f t="shared" si="10"/>
        <v>800.83333333333337</v>
      </c>
      <c r="E10" s="51" t="s">
        <v>77</v>
      </c>
      <c r="F10" s="17" t="s">
        <v>478</v>
      </c>
      <c r="G10" s="17" t="s">
        <v>478</v>
      </c>
      <c r="H10" s="17" t="s">
        <v>478</v>
      </c>
      <c r="I10" s="318" t="s">
        <v>479</v>
      </c>
      <c r="J10" s="318" t="s">
        <v>479</v>
      </c>
      <c r="K10" s="17" t="s">
        <v>478</v>
      </c>
      <c r="L10" s="17" t="s">
        <v>77</v>
      </c>
      <c r="M10" s="17" t="s">
        <v>478</v>
      </c>
      <c r="N10" s="17" t="s">
        <v>478</v>
      </c>
      <c r="O10" s="17" t="s">
        <v>478</v>
      </c>
      <c r="P10" s="17" t="s">
        <v>478</v>
      </c>
      <c r="Q10" s="17" t="s">
        <v>478</v>
      </c>
      <c r="R10" s="17" t="s">
        <v>77</v>
      </c>
      <c r="S10" s="17" t="s">
        <v>478</v>
      </c>
      <c r="T10" s="17" t="s">
        <v>478</v>
      </c>
      <c r="U10" s="17" t="s">
        <v>478</v>
      </c>
      <c r="V10" s="17"/>
      <c r="W10" s="17"/>
      <c r="X10" s="17"/>
      <c r="Y10" s="17"/>
      <c r="Z10" s="318"/>
      <c r="AA10" s="17"/>
      <c r="AB10" s="17"/>
      <c r="AC10" s="17"/>
      <c r="AD10" s="17"/>
      <c r="AE10" s="17"/>
      <c r="AF10" s="17"/>
      <c r="AG10" s="318"/>
      <c r="AH10" s="317"/>
      <c r="AI10" s="51"/>
      <c r="AJ10" s="299">
        <f t="shared" si="2"/>
        <v>12</v>
      </c>
      <c r="AK10" s="299">
        <f t="shared" si="3"/>
        <v>2</v>
      </c>
      <c r="AL10" s="299">
        <f t="shared" si="4"/>
        <v>3</v>
      </c>
      <c r="AM10" s="299">
        <f t="shared" si="5"/>
        <v>0</v>
      </c>
      <c r="AN10" s="299">
        <f t="shared" si="12"/>
        <v>12</v>
      </c>
      <c r="AO10" s="299">
        <f t="shared" si="6"/>
        <v>0</v>
      </c>
      <c r="AP10" s="299">
        <f t="shared" si="13"/>
        <v>0</v>
      </c>
      <c r="AQ10" s="299">
        <f t="shared" si="14"/>
        <v>12</v>
      </c>
      <c r="AR10" s="300">
        <f t="shared" si="9"/>
        <v>9610</v>
      </c>
      <c r="AS10" s="301"/>
    </row>
    <row r="11" spans="1:45" ht="18">
      <c r="A11" s="287">
        <v>7</v>
      </c>
      <c r="B11" s="290" t="s">
        <v>473</v>
      </c>
      <c r="C11" s="286" t="s">
        <v>185</v>
      </c>
      <c r="D11" s="52">
        <f t="shared" si="10"/>
        <v>800.83333333333337</v>
      </c>
      <c r="E11" s="51" t="s">
        <v>77</v>
      </c>
      <c r="F11" s="17" t="s">
        <v>478</v>
      </c>
      <c r="G11" s="17" t="s">
        <v>478</v>
      </c>
      <c r="H11" s="17" t="s">
        <v>478</v>
      </c>
      <c r="I11" s="17" t="s">
        <v>478</v>
      </c>
      <c r="J11" s="17" t="s">
        <v>478</v>
      </c>
      <c r="K11" s="17" t="s">
        <v>77</v>
      </c>
      <c r="L11" s="17" t="s">
        <v>478</v>
      </c>
      <c r="M11" s="17" t="s">
        <v>478</v>
      </c>
      <c r="N11" s="17" t="s">
        <v>478</v>
      </c>
      <c r="O11" s="17" t="s">
        <v>478</v>
      </c>
      <c r="P11" s="17" t="s">
        <v>478</v>
      </c>
      <c r="Q11" s="17" t="s">
        <v>478</v>
      </c>
      <c r="R11" s="17" t="s">
        <v>478</v>
      </c>
      <c r="S11" s="17" t="s">
        <v>77</v>
      </c>
      <c r="T11" s="17" t="s">
        <v>478</v>
      </c>
      <c r="U11" s="17" t="s">
        <v>478</v>
      </c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51"/>
      <c r="AI11" s="51"/>
      <c r="AJ11" s="299">
        <f t="shared" si="2"/>
        <v>14</v>
      </c>
      <c r="AK11" s="299">
        <f t="shared" si="3"/>
        <v>0</v>
      </c>
      <c r="AL11" s="299">
        <f t="shared" si="4"/>
        <v>3</v>
      </c>
      <c r="AM11" s="299">
        <f t="shared" si="5"/>
        <v>0</v>
      </c>
      <c r="AN11" s="299">
        <f t="shared" ref="AN11:AN13" si="15">AJ11+AM11</f>
        <v>14</v>
      </c>
      <c r="AO11" s="299">
        <f t="shared" si="6"/>
        <v>0</v>
      </c>
      <c r="AP11" s="299">
        <f t="shared" ref="AP11:AP13" si="16">AO11/12</f>
        <v>0</v>
      </c>
      <c r="AQ11" s="299">
        <f t="shared" ref="AQ11:AQ13" si="17">AN11+AP11</f>
        <v>14</v>
      </c>
      <c r="AR11" s="300">
        <f t="shared" si="9"/>
        <v>11211.666666666668</v>
      </c>
      <c r="AS11" s="301"/>
    </row>
    <row r="12" spans="1:45" ht="18">
      <c r="A12" s="287">
        <v>8</v>
      </c>
      <c r="B12" s="290" t="s">
        <v>474</v>
      </c>
      <c r="C12" s="286" t="s">
        <v>185</v>
      </c>
      <c r="D12" s="52">
        <f t="shared" si="10"/>
        <v>800.83333333333337</v>
      </c>
      <c r="E12" s="51" t="s">
        <v>77</v>
      </c>
      <c r="F12" s="17" t="s">
        <v>478</v>
      </c>
      <c r="G12" s="17" t="s">
        <v>478</v>
      </c>
      <c r="H12" s="17" t="s">
        <v>478</v>
      </c>
      <c r="I12" s="17" t="s">
        <v>478</v>
      </c>
      <c r="J12" s="17" t="s">
        <v>478</v>
      </c>
      <c r="K12" s="17" t="s">
        <v>478</v>
      </c>
      <c r="L12" s="17" t="s">
        <v>77</v>
      </c>
      <c r="M12" s="318" t="s">
        <v>479</v>
      </c>
      <c r="N12" s="318" t="s">
        <v>479</v>
      </c>
      <c r="O12" s="318" t="s">
        <v>479</v>
      </c>
      <c r="P12" s="318" t="s">
        <v>479</v>
      </c>
      <c r="Q12" s="17" t="s">
        <v>478</v>
      </c>
      <c r="R12" s="17" t="s">
        <v>478</v>
      </c>
      <c r="S12" s="17" t="s">
        <v>77</v>
      </c>
      <c r="T12" s="17" t="s">
        <v>478</v>
      </c>
      <c r="U12" s="17" t="s">
        <v>478</v>
      </c>
      <c r="V12" s="17" t="s">
        <v>478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51"/>
      <c r="AI12" s="51"/>
      <c r="AJ12" s="299">
        <f t="shared" ref="AJ12" si="18">COUNTIF(E12:AI12,"P*")</f>
        <v>11</v>
      </c>
      <c r="AK12" s="299">
        <f t="shared" ref="AK12" si="19">COUNTIF(E12:AI12,"A")</f>
        <v>4</v>
      </c>
      <c r="AL12" s="299">
        <f t="shared" ref="AL12" si="20">COUNTIF(E12:AI12,"WO")</f>
        <v>3</v>
      </c>
      <c r="AM12" s="299">
        <f t="shared" ref="AM12" si="21">COUNTIF(E12:AI12,"HD")</f>
        <v>0</v>
      </c>
      <c r="AN12" s="299">
        <f t="shared" ref="AN12" si="22">AJ12+AM12</f>
        <v>11</v>
      </c>
      <c r="AO12" s="299">
        <f t="shared" ref="AO12" si="23">(COUNTIF(E12:AI12,"P12")*12)</f>
        <v>0</v>
      </c>
      <c r="AP12" s="299">
        <f t="shared" ref="AP12" si="24">AO12/12</f>
        <v>0</v>
      </c>
      <c r="AQ12" s="299">
        <f t="shared" ref="AQ12" si="25">AN12+AP12</f>
        <v>11</v>
      </c>
      <c r="AR12" s="300">
        <f t="shared" ref="AR12" si="26">AQ12*D12</f>
        <v>8809.1666666666679</v>
      </c>
      <c r="AS12" s="301"/>
    </row>
    <row r="13" spans="1:45" ht="18">
      <c r="A13" s="287">
        <v>9</v>
      </c>
      <c r="B13" s="290"/>
      <c r="C13" s="286" t="s">
        <v>185</v>
      </c>
      <c r="D13" s="52">
        <f t="shared" si="10"/>
        <v>800.83333333333337</v>
      </c>
      <c r="E13" s="51"/>
      <c r="F13" s="51"/>
      <c r="G13" s="51"/>
      <c r="H13" s="51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51"/>
      <c r="AG13" s="51"/>
      <c r="AH13" s="51"/>
      <c r="AI13" s="17"/>
      <c r="AJ13" s="299">
        <f t="shared" si="2"/>
        <v>0</v>
      </c>
      <c r="AK13" s="299">
        <f t="shared" si="3"/>
        <v>0</v>
      </c>
      <c r="AL13" s="299">
        <f t="shared" si="4"/>
        <v>0</v>
      </c>
      <c r="AM13" s="299">
        <f t="shared" si="5"/>
        <v>0</v>
      </c>
      <c r="AN13" s="299">
        <f t="shared" si="15"/>
        <v>0</v>
      </c>
      <c r="AO13" s="299">
        <f t="shared" si="6"/>
        <v>0</v>
      </c>
      <c r="AP13" s="299">
        <f t="shared" si="16"/>
        <v>0</v>
      </c>
      <c r="AQ13" s="299">
        <f t="shared" si="17"/>
        <v>0</v>
      </c>
      <c r="AR13" s="300">
        <f t="shared" si="9"/>
        <v>0</v>
      </c>
      <c r="AS13" s="301"/>
    </row>
    <row r="14" spans="1:45" ht="18">
      <c r="A14" s="287"/>
      <c r="B14" s="290"/>
      <c r="C14" s="286" t="s">
        <v>185</v>
      </c>
      <c r="D14" s="52">
        <f t="shared" si="10"/>
        <v>800.83333333333337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17"/>
      <c r="AE14" s="17"/>
      <c r="AF14" s="51"/>
      <c r="AG14" s="17"/>
      <c r="AH14" s="17"/>
      <c r="AI14" s="17"/>
      <c r="AJ14" s="299">
        <f>COUNTIF(E14:AI14,"P*")</f>
        <v>0</v>
      </c>
      <c r="AK14" s="299">
        <f>COUNTIF(E14:AI14,"A")</f>
        <v>0</v>
      </c>
      <c r="AL14" s="299">
        <f>COUNTIF(E14:AI14,"WO")</f>
        <v>0</v>
      </c>
      <c r="AM14" s="299">
        <f>COUNTIF(E14:AI14,"HD")</f>
        <v>0</v>
      </c>
      <c r="AN14" s="299">
        <f t="shared" ref="AN14" si="27">AJ14+AM14</f>
        <v>0</v>
      </c>
      <c r="AO14" s="299">
        <f>(COUNTIF(E14:AI14,"P12")*12)</f>
        <v>0</v>
      </c>
      <c r="AP14" s="299">
        <f t="shared" ref="AP14" si="28">AO14/12</f>
        <v>0</v>
      </c>
      <c r="AQ14" s="299">
        <f t="shared" ref="AQ14" si="29">AN14+AP14</f>
        <v>0</v>
      </c>
      <c r="AR14" s="300">
        <f t="shared" ref="AR14" si="30">AQ14*D14</f>
        <v>0</v>
      </c>
      <c r="AS14" s="301"/>
    </row>
    <row r="15" spans="1:45" ht="18">
      <c r="A15" s="287"/>
      <c r="B15" s="290"/>
      <c r="C15" s="286" t="s">
        <v>185</v>
      </c>
      <c r="D15" s="52">
        <f t="shared" si="10"/>
        <v>800.83333333333337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17"/>
      <c r="AE15" s="17"/>
      <c r="AF15" s="51"/>
      <c r="AG15" s="51"/>
      <c r="AH15" s="51"/>
      <c r="AI15" s="17"/>
      <c r="AJ15" s="299">
        <f>COUNTIF(E15:AI15,"P*")</f>
        <v>0</v>
      </c>
      <c r="AK15" s="299">
        <f>COUNTIF(E15:AI15,"A")</f>
        <v>0</v>
      </c>
      <c r="AL15" s="299">
        <f>COUNTIF(E15:AI15,"WO")</f>
        <v>0</v>
      </c>
      <c r="AM15" s="299">
        <f>COUNTIF(E15:AI15,"HD")</f>
        <v>0</v>
      </c>
      <c r="AN15" s="299">
        <f t="shared" ref="AN15" si="31">AJ15+AM15</f>
        <v>0</v>
      </c>
      <c r="AO15" s="299">
        <f>(COUNTIF(E15:AI15,"P12")*12)</f>
        <v>0</v>
      </c>
      <c r="AP15" s="299">
        <f t="shared" ref="AP15" si="32">AO15/12</f>
        <v>0</v>
      </c>
      <c r="AQ15" s="299">
        <f t="shared" ref="AQ15" si="33">AN15+AP15</f>
        <v>0</v>
      </c>
      <c r="AR15" s="300">
        <f t="shared" ref="AR15" si="34">AQ15*D15</f>
        <v>0</v>
      </c>
      <c r="AS15" s="301"/>
    </row>
    <row r="16" spans="1:45" ht="17.25">
      <c r="A16" s="34"/>
      <c r="B16" s="425"/>
      <c r="C16" s="425"/>
      <c r="D16" s="425"/>
      <c r="E16" s="46">
        <f>COUNTIF(E5:E15,"P")+COUNTIF(E5:E15,"P12")</f>
        <v>0</v>
      </c>
      <c r="F16" s="46">
        <f t="shared" ref="F16:AI16" si="35">COUNTIF(F5:F15,"P")+COUNTIF(F5:F15,"P12")</f>
        <v>8</v>
      </c>
      <c r="G16" s="46">
        <f t="shared" si="35"/>
        <v>8</v>
      </c>
      <c r="H16" s="46">
        <f t="shared" si="35"/>
        <v>8</v>
      </c>
      <c r="I16" s="46">
        <f t="shared" si="35"/>
        <v>7</v>
      </c>
      <c r="J16" s="46">
        <f t="shared" si="35"/>
        <v>7</v>
      </c>
      <c r="K16" s="46">
        <f t="shared" si="35"/>
        <v>4</v>
      </c>
      <c r="L16" s="46">
        <f t="shared" si="35"/>
        <v>4</v>
      </c>
      <c r="M16" s="46">
        <f t="shared" si="35"/>
        <v>7</v>
      </c>
      <c r="N16" s="46">
        <f t="shared" si="35"/>
        <v>7</v>
      </c>
      <c r="O16" s="46">
        <f t="shared" si="35"/>
        <v>7</v>
      </c>
      <c r="P16" s="46">
        <f t="shared" si="35"/>
        <v>7</v>
      </c>
      <c r="Q16" s="46">
        <f t="shared" si="35"/>
        <v>8</v>
      </c>
      <c r="R16" s="46">
        <f t="shared" si="35"/>
        <v>4</v>
      </c>
      <c r="S16" s="46">
        <f t="shared" si="35"/>
        <v>4</v>
      </c>
      <c r="T16" s="46">
        <f t="shared" si="35"/>
        <v>8</v>
      </c>
      <c r="U16" s="46">
        <f t="shared" si="35"/>
        <v>8</v>
      </c>
      <c r="V16" s="46">
        <f t="shared" si="35"/>
        <v>4</v>
      </c>
      <c r="W16" s="46">
        <f t="shared" si="35"/>
        <v>0</v>
      </c>
      <c r="X16" s="46">
        <f t="shared" si="35"/>
        <v>0</v>
      </c>
      <c r="Y16" s="46">
        <f t="shared" si="35"/>
        <v>0</v>
      </c>
      <c r="Z16" s="46">
        <f t="shared" si="35"/>
        <v>0</v>
      </c>
      <c r="AA16" s="46">
        <f t="shared" si="35"/>
        <v>0</v>
      </c>
      <c r="AB16" s="46">
        <f t="shared" si="35"/>
        <v>0</v>
      </c>
      <c r="AC16" s="46">
        <f t="shared" si="35"/>
        <v>0</v>
      </c>
      <c r="AD16" s="46">
        <f t="shared" si="35"/>
        <v>0</v>
      </c>
      <c r="AE16" s="46">
        <f t="shared" si="35"/>
        <v>0</v>
      </c>
      <c r="AF16" s="46">
        <f t="shared" si="35"/>
        <v>0</v>
      </c>
      <c r="AG16" s="46">
        <f t="shared" si="35"/>
        <v>0</v>
      </c>
      <c r="AH16" s="46">
        <f t="shared" si="35"/>
        <v>0</v>
      </c>
      <c r="AI16" s="46">
        <f t="shared" si="35"/>
        <v>0</v>
      </c>
      <c r="AJ16" s="33">
        <f>SUM(AJ5:AJ15)</f>
        <v>110</v>
      </c>
      <c r="AK16" s="33">
        <f t="shared" ref="AK16:AS16" si="36">SUM(AK5:AK15)</f>
        <v>6</v>
      </c>
      <c r="AL16" s="33">
        <f t="shared" si="36"/>
        <v>24</v>
      </c>
      <c r="AM16" s="33">
        <f t="shared" si="36"/>
        <v>0</v>
      </c>
      <c r="AN16" s="33">
        <f t="shared" si="36"/>
        <v>110</v>
      </c>
      <c r="AO16" s="33">
        <f t="shared" si="36"/>
        <v>0</v>
      </c>
      <c r="AP16" s="33">
        <f t="shared" si="36"/>
        <v>0</v>
      </c>
      <c r="AQ16" s="33">
        <f t="shared" si="36"/>
        <v>110</v>
      </c>
      <c r="AR16" s="33">
        <f t="shared" si="36"/>
        <v>88091.666666666686</v>
      </c>
      <c r="AS16" s="33">
        <f t="shared" si="36"/>
        <v>0</v>
      </c>
    </row>
    <row r="17" spans="2:43">
      <c r="B17" s="7"/>
      <c r="C17" s="7"/>
      <c r="D17" s="7"/>
      <c r="F17" s="7"/>
      <c r="AJ17" s="19"/>
      <c r="AK17" s="19"/>
      <c r="AL17" s="19"/>
      <c r="AM17" s="19"/>
      <c r="AN17" s="19"/>
      <c r="AO17" s="19"/>
      <c r="AP17" s="19"/>
      <c r="AQ17" s="19"/>
    </row>
    <row r="18" spans="2:43" ht="30">
      <c r="B18" s="20" t="s">
        <v>73</v>
      </c>
      <c r="C18" s="21" t="s">
        <v>85</v>
      </c>
      <c r="D18" s="21" t="s">
        <v>86</v>
      </c>
      <c r="E18" s="414" t="s">
        <v>87</v>
      </c>
      <c r="F18" s="414"/>
      <c r="G18" s="414"/>
      <c r="H18" s="414" t="s">
        <v>88</v>
      </c>
      <c r="I18" s="414"/>
      <c r="J18" s="414"/>
      <c r="AJ18" s="19"/>
      <c r="AK18" s="19"/>
      <c r="AL18" s="19"/>
      <c r="AM18" s="19"/>
      <c r="AN18" s="19"/>
      <c r="AO18" s="19"/>
      <c r="AP18" s="19"/>
      <c r="AQ18" s="19"/>
    </row>
    <row r="19" spans="2:43">
      <c r="B19" s="14" t="s">
        <v>89</v>
      </c>
      <c r="C19" s="15">
        <f>AQ16</f>
        <v>110</v>
      </c>
      <c r="D19" s="15">
        <v>9</v>
      </c>
      <c r="E19" s="400">
        <f>D5</f>
        <v>800.83333333333337</v>
      </c>
      <c r="F19" s="401"/>
      <c r="G19" s="402"/>
      <c r="H19" s="403">
        <f>E19*C19</f>
        <v>88091.666666666672</v>
      </c>
      <c r="I19" s="404"/>
      <c r="J19" s="405"/>
      <c r="AJ19" s="19"/>
      <c r="AK19" s="19"/>
      <c r="AL19" s="19"/>
      <c r="AM19" s="19"/>
      <c r="AN19" s="19"/>
      <c r="AO19" s="19"/>
      <c r="AP19" s="19"/>
    </row>
    <row r="20" spans="2:43">
      <c r="B20" s="50" t="s">
        <v>230</v>
      </c>
      <c r="C20" s="15"/>
      <c r="D20" s="15"/>
      <c r="E20" s="48"/>
      <c r="F20" s="48"/>
      <c r="G20" s="49"/>
      <c r="H20" s="403">
        <v>0</v>
      </c>
      <c r="I20" s="404"/>
      <c r="J20" s="405"/>
      <c r="AJ20" s="19"/>
      <c r="AK20" s="19"/>
      <c r="AL20" s="19"/>
      <c r="AM20" s="19"/>
      <c r="AN20" s="19"/>
      <c r="AO20" s="19"/>
      <c r="AP20" s="19"/>
      <c r="AQ20" s="19"/>
    </row>
    <row r="21" spans="2:43">
      <c r="B21" s="22" t="s">
        <v>52</v>
      </c>
      <c r="C21" s="15">
        <f>SUM(C19)</f>
        <v>110</v>
      </c>
      <c r="D21" s="15"/>
      <c r="E21" s="23"/>
      <c r="F21" s="23"/>
      <c r="G21" s="24"/>
      <c r="H21" s="403">
        <f>H19-H20</f>
        <v>88091.666666666672</v>
      </c>
      <c r="I21" s="404"/>
      <c r="J21" s="405"/>
      <c r="AJ21" s="19"/>
      <c r="AK21" s="19"/>
      <c r="AL21" s="19"/>
      <c r="AM21" s="19"/>
      <c r="AN21" s="19"/>
      <c r="AO21" s="19"/>
      <c r="AP21" s="19"/>
      <c r="AQ21" s="19"/>
    </row>
    <row r="22" spans="2:43">
      <c r="B22" s="7"/>
      <c r="C22" s="7"/>
      <c r="D22" s="7"/>
      <c r="F22" s="7"/>
      <c r="AJ22" s="19"/>
      <c r="AK22" s="19"/>
      <c r="AL22" s="19"/>
      <c r="AM22" s="19"/>
      <c r="AN22" s="19"/>
      <c r="AO22" s="19"/>
      <c r="AP22" s="19"/>
      <c r="AQ22" s="19"/>
    </row>
    <row r="23" spans="2:43">
      <c r="B23" s="7"/>
      <c r="C23" s="396" t="s">
        <v>286</v>
      </c>
      <c r="D23" s="396"/>
      <c r="E23" s="396"/>
      <c r="F23" s="396"/>
      <c r="G23" s="396"/>
      <c r="H23" s="418">
        <f>H21*7%</f>
        <v>6166.4166666666679</v>
      </c>
      <c r="I23" s="413"/>
      <c r="J23" s="413"/>
      <c r="V23" s="45"/>
      <c r="AJ23" s="19"/>
      <c r="AK23" s="19"/>
      <c r="AL23" s="19"/>
      <c r="AM23" s="19"/>
      <c r="AN23" s="19"/>
      <c r="AO23" s="19"/>
      <c r="AP23" s="19"/>
      <c r="AQ23" s="19"/>
    </row>
    <row r="24" spans="2:43">
      <c r="C24" s="396" t="s">
        <v>287</v>
      </c>
      <c r="D24" s="396"/>
      <c r="E24" s="396"/>
      <c r="F24" s="396"/>
      <c r="G24" s="396"/>
      <c r="H24" s="418">
        <f>H23+H21</f>
        <v>94258.083333333343</v>
      </c>
      <c r="I24" s="413"/>
      <c r="J24" s="413"/>
    </row>
    <row r="25" spans="2:43">
      <c r="C25" s="396" t="s">
        <v>288</v>
      </c>
      <c r="D25" s="396"/>
      <c r="E25" s="396"/>
      <c r="F25" s="396"/>
      <c r="G25" s="396"/>
      <c r="H25" s="418">
        <f>H24*18%</f>
        <v>16966.455000000002</v>
      </c>
      <c r="I25" s="413"/>
      <c r="J25" s="413"/>
    </row>
    <row r="26" spans="2:43">
      <c r="C26" s="396" t="s">
        <v>289</v>
      </c>
      <c r="D26" s="396"/>
      <c r="E26" s="396"/>
      <c r="F26" s="396"/>
      <c r="G26" s="396"/>
      <c r="H26" s="418">
        <f>H25+H24</f>
        <v>111224.53833333334</v>
      </c>
      <c r="I26" s="413"/>
      <c r="J26" s="413"/>
    </row>
    <row r="27" spans="2:43">
      <c r="C27" s="25"/>
      <c r="E27" s="29"/>
      <c r="F27" s="30"/>
    </row>
    <row r="28" spans="2:43">
      <c r="C28" s="26"/>
    </row>
    <row r="29" spans="2:43">
      <c r="C29" s="26"/>
    </row>
    <row r="30" spans="2:43">
      <c r="C30" s="25"/>
    </row>
    <row r="31" spans="2:43">
      <c r="C31" s="26"/>
    </row>
    <row r="32" spans="2:43">
      <c r="C32" s="26"/>
    </row>
  </sheetData>
  <sheetProtection password="CF7A" sheet="1" insertRows="0"/>
  <customSheetViews>
    <customSheetView guid="{5E113600-004F-4409-A088-DFECFF9BC96A}" scale="85" showGridLines="0" fitToPage="1" hiddenColumns="1">
      <selection activeCell="P10" sqref="P10"/>
      <pageMargins left="0.17" right="0.17" top="0.75" bottom="1.58" header="0.3" footer="0.3"/>
      <pageSetup scale="51" orientation="landscape" r:id="rId1"/>
    </customSheetView>
    <customSheetView guid="{1F97382E-80B0-473D-874E-BD5E60D01A4B}" scale="85" showGridLines="0" fitToPage="1" hiddenColumns="1" topLeftCell="V1">
      <selection activeCell="AQ8" sqref="AQ8"/>
      <pageMargins left="0.17" right="0.17" top="0.75" bottom="1.58" header="0.3" footer="0.3"/>
      <pageSetup scale="51" orientation="landscape" r:id="rId2"/>
    </customSheetView>
    <customSheetView guid="{7663FDEA-AE2F-416B-8123-1D493B6639C0}" scale="85" showGridLines="0" fitToPage="1" hiddenColumns="1">
      <selection activeCell="AI16" sqref="AI16"/>
      <pageMargins left="0.17" right="0.17" top="0.75" bottom="1.58" header="0.3" footer="0.3"/>
      <pageSetup scale="51" orientation="landscape" r:id="rId3"/>
    </customSheetView>
    <customSheetView guid="{C287C8AD-6E2E-4D5F-930B-C18EF9030790}" scale="85" showGridLines="0" fitToPage="1" hiddenColumns="1">
      <selection activeCell="P10" sqref="P10"/>
      <pageMargins left="0.17" right="0.17" top="0.75" bottom="1.58" header="0.3" footer="0.3"/>
      <pageSetup scale="51" orientation="landscape" r:id="rId4"/>
    </customSheetView>
  </customSheetViews>
  <mergeCells count="21">
    <mergeCell ref="Z1:AI1"/>
    <mergeCell ref="A1:D1"/>
    <mergeCell ref="AJ2:AQ2"/>
    <mergeCell ref="H21:J21"/>
    <mergeCell ref="E4:AS4"/>
    <mergeCell ref="B16:D16"/>
    <mergeCell ref="E18:G18"/>
    <mergeCell ref="H18:J18"/>
    <mergeCell ref="E19:G19"/>
    <mergeCell ref="H19:J19"/>
    <mergeCell ref="A4:B4"/>
    <mergeCell ref="E1:Y1"/>
    <mergeCell ref="H20:J20"/>
    <mergeCell ref="C23:G23"/>
    <mergeCell ref="C24:G24"/>
    <mergeCell ref="C25:G25"/>
    <mergeCell ref="C26:G26"/>
    <mergeCell ref="H23:J23"/>
    <mergeCell ref="H24:J24"/>
    <mergeCell ref="H25:J25"/>
    <mergeCell ref="H26:J26"/>
  </mergeCells>
  <conditionalFormatting sqref="E13:H14 E14:AC15 L13 L5:L11 M6:R11 I8:L11 S9:S11 I12:S12 AG13:AH13 AF14:AF15 AF15:AH15 K6:K8 G6:H10 E6:F12 S13">
    <cfRule type="expression" dxfId="1242" priority="243">
      <formula>E$2="Sat"</formula>
    </cfRule>
  </conditionalFormatting>
  <conditionalFormatting sqref="E5:R5 I5:K12 E5:E12">
    <cfRule type="expression" dxfId="1241" priority="608">
      <formula>E$2="Sun"</formula>
    </cfRule>
  </conditionalFormatting>
  <conditionalFormatting sqref="E14:AC15">
    <cfRule type="containsText" dxfId="1240" priority="235" operator="containsText" text="OJT">
      <formula>NOT(ISERROR(SEARCH("OJT",E14)))</formula>
    </cfRule>
    <cfRule type="expression" dxfId="1239" priority="195">
      <formula>E$2="Sat"</formula>
    </cfRule>
  </conditionalFormatting>
  <conditionalFormatting sqref="F5">
    <cfRule type="expression" dxfId="1238" priority="38">
      <formula>F$2="Sun"</formula>
    </cfRule>
  </conditionalFormatting>
  <conditionalFormatting sqref="F13:H13 F13:G15">
    <cfRule type="expression" dxfId="1237" priority="172">
      <formula>F$2="Sun"</formula>
    </cfRule>
    <cfRule type="expression" dxfId="1236" priority="171">
      <formula>F$2="Sat"</formula>
    </cfRule>
  </conditionalFormatting>
  <conditionalFormatting sqref="G10">
    <cfRule type="expression" dxfId="1235" priority="386">
      <formula>G$2="Sat"</formula>
    </cfRule>
    <cfRule type="expression" dxfId="1234" priority="387">
      <formula>G$2="Sun"</formula>
    </cfRule>
  </conditionalFormatting>
  <conditionalFormatting sqref="G11:G12">
    <cfRule type="expression" dxfId="1233" priority="177">
      <formula>G$2="Sat"</formula>
    </cfRule>
    <cfRule type="expression" dxfId="1232" priority="178">
      <formula>G$2="Sun"</formula>
    </cfRule>
  </conditionalFormatting>
  <conditionalFormatting sqref="G11:G13">
    <cfRule type="expression" dxfId="1231" priority="174">
      <formula>G$2="Sun"</formula>
    </cfRule>
    <cfRule type="expression" dxfId="1230" priority="173">
      <formula>G$2="Sat"</formula>
    </cfRule>
  </conditionalFormatting>
  <conditionalFormatting sqref="G13">
    <cfRule type="expression" dxfId="1229" priority="170">
      <formula>G$2="Sun"</formula>
    </cfRule>
    <cfRule type="expression" dxfId="1228" priority="169">
      <formula>G$2="Sat"</formula>
    </cfRule>
  </conditionalFormatting>
  <conditionalFormatting sqref="G11:H12">
    <cfRule type="expression" dxfId="1227" priority="382">
      <formula>G$2="Sat"</formula>
    </cfRule>
    <cfRule type="expression" dxfId="1226" priority="383">
      <formula>G$2="Sun"</formula>
    </cfRule>
  </conditionalFormatting>
  <conditionalFormatting sqref="G13:H13">
    <cfRule type="expression" dxfId="1225" priority="165">
      <formula>G$2="Sat"</formula>
    </cfRule>
    <cfRule type="expression" dxfId="1224" priority="166">
      <formula>G$2="Sun"</formula>
    </cfRule>
  </conditionalFormatting>
  <conditionalFormatting sqref="G11:I12">
    <cfRule type="expression" dxfId="1223" priority="367">
      <formula>G$2="Sun"</formula>
    </cfRule>
  </conditionalFormatting>
  <conditionalFormatting sqref="G5:R5 I5:K12">
    <cfRule type="expression" dxfId="1222" priority="607">
      <formula>G$2="Sat"</formula>
    </cfRule>
  </conditionalFormatting>
  <conditionalFormatting sqref="H11:H15">
    <cfRule type="expression" dxfId="1221" priority="99">
      <formula>H$2="Sun"</formula>
    </cfRule>
    <cfRule type="expression" dxfId="1220" priority="97">
      <formula>H$2="Sat"</formula>
    </cfRule>
  </conditionalFormatting>
  <conditionalFormatting sqref="H13">
    <cfRule type="expression" dxfId="1219" priority="162">
      <formula>H$2="Sun"</formula>
    </cfRule>
    <cfRule type="expression" dxfId="1218" priority="163">
      <formula>H$2="Sat"</formula>
    </cfRule>
    <cfRule type="expression" dxfId="1217" priority="164">
      <formula>H$2="Sun"</formula>
    </cfRule>
    <cfRule type="expression" dxfId="1216" priority="161">
      <formula>H$2="Sat"</formula>
    </cfRule>
  </conditionalFormatting>
  <conditionalFormatting sqref="H14:H15">
    <cfRule type="containsText" dxfId="1215" priority="98" operator="containsText" text="OJT">
      <formula>NOT(ISERROR(SEARCH("OJT",H14)))</formula>
    </cfRule>
  </conditionalFormatting>
  <conditionalFormatting sqref="H14:I15">
    <cfRule type="expression" dxfId="1214" priority="94">
      <formula>H$2="Sun"</formula>
    </cfRule>
    <cfRule type="expression" dxfId="1213" priority="93">
      <formula>H$2="Sat"</formula>
    </cfRule>
  </conditionalFormatting>
  <conditionalFormatting sqref="I6:I8">
    <cfRule type="containsText" dxfId="1212" priority="369" operator="containsText" text="OJT">
      <formula>NOT(ISERROR(SEARCH("OJT",I6)))</formula>
    </cfRule>
  </conditionalFormatting>
  <conditionalFormatting sqref="I7:I8">
    <cfRule type="expression" dxfId="1211" priority="371">
      <formula>I$2="Sun"</formula>
    </cfRule>
    <cfRule type="expression" dxfId="1210" priority="370">
      <formula>I$2="Sat"</formula>
    </cfRule>
  </conditionalFormatting>
  <conditionalFormatting sqref="I8">
    <cfRule type="expression" dxfId="1209" priority="234">
      <formula>I$2="Sat"</formula>
    </cfRule>
  </conditionalFormatting>
  <conditionalFormatting sqref="I11:I12">
    <cfRule type="containsText" dxfId="1208" priority="149" operator="containsText" text="OJT">
      <formula>NOT(ISERROR(SEARCH("OJT",I11)))</formula>
    </cfRule>
  </conditionalFormatting>
  <conditionalFormatting sqref="I13">
    <cfRule type="expression" dxfId="1207" priority="229">
      <formula>I$2="Sun"</formula>
    </cfRule>
    <cfRule type="expression" dxfId="1206" priority="228">
      <formula>I$2="Sat"</formula>
    </cfRule>
  </conditionalFormatting>
  <conditionalFormatting sqref="I14:I15">
    <cfRule type="expression" dxfId="1205" priority="92">
      <formula>I$2="Sun"</formula>
    </cfRule>
  </conditionalFormatting>
  <conditionalFormatting sqref="I6:J7 K7 J11:AD12 Z9:AD10 AF8:AH12 AD6:AF8 AG14:AI15 W13 AC14:AD15">
    <cfRule type="containsText" dxfId="1204" priority="611" operator="containsText" text="OJT">
      <formula>NOT(ISERROR(SEARCH("OJT",I6)))</formula>
    </cfRule>
  </conditionalFormatting>
  <conditionalFormatting sqref="I6:J7 AH9:AH12 R13 AG14:AI15 AD5:AD12 Z9:AD10 S5:AF5 P5:P8 E5:E12 K6:L6 S6:AB6 E5:G5 AB5:AB6 AC6:AF8">
    <cfRule type="expression" dxfId="1203" priority="388">
      <formula>E$2="Sat"</formula>
    </cfRule>
  </conditionalFormatting>
  <conditionalFormatting sqref="I11:J12">
    <cfRule type="expression" dxfId="1202" priority="146">
      <formula>I$2="Sun"</formula>
    </cfRule>
  </conditionalFormatting>
  <conditionalFormatting sqref="I13:J13">
    <cfRule type="expression" dxfId="1201" priority="223">
      <formula>I$2="Sun"</formula>
    </cfRule>
  </conditionalFormatting>
  <conditionalFormatting sqref="I11:L12">
    <cfRule type="expression" dxfId="1200" priority="135">
      <formula>I$2="Sat"</formula>
    </cfRule>
  </conditionalFormatting>
  <conditionalFormatting sqref="I14:Y15">
    <cfRule type="containsText" dxfId="1199" priority="83" operator="containsText" text="OJT">
      <formula>NOT(ISERROR(SEARCH("OJT",I14)))</formula>
    </cfRule>
  </conditionalFormatting>
  <conditionalFormatting sqref="I11:AD12 W13">
    <cfRule type="expression" dxfId="1198" priority="151">
      <formula>I$2="Sun"</formula>
    </cfRule>
    <cfRule type="expression" dxfId="1197" priority="150">
      <formula>I$2="Sat"</formula>
    </cfRule>
  </conditionalFormatting>
  <conditionalFormatting sqref="J11:J12">
    <cfRule type="containsText" dxfId="1196" priority="145" operator="containsText" text="OJT">
      <formula>NOT(ISERROR(SEARCH("OJT",J11)))</formula>
    </cfRule>
  </conditionalFormatting>
  <conditionalFormatting sqref="J13">
    <cfRule type="expression" dxfId="1195" priority="222">
      <formula>J$2="Sat"</formula>
    </cfRule>
  </conditionalFormatting>
  <conditionalFormatting sqref="J13:J15">
    <cfRule type="expression" dxfId="1194" priority="219">
      <formula>J$2="Sun"</formula>
    </cfRule>
  </conditionalFormatting>
  <conditionalFormatting sqref="J11:K12">
    <cfRule type="expression" dxfId="1193" priority="142">
      <formula>J$2="Sun"</formula>
    </cfRule>
  </conditionalFormatting>
  <conditionalFormatting sqref="J14:K15">
    <cfRule type="expression" dxfId="1192" priority="211">
      <formula>J$2="Sat"</formula>
    </cfRule>
  </conditionalFormatting>
  <conditionalFormatting sqref="J14:N15 N15:T15">
    <cfRule type="expression" dxfId="1191" priority="203">
      <formula>J$2="Sun"</formula>
    </cfRule>
  </conditionalFormatting>
  <conditionalFormatting sqref="K6:K7">
    <cfRule type="expression" dxfId="1190" priority="629">
      <formula>K$2="Sat"</formula>
    </cfRule>
  </conditionalFormatting>
  <conditionalFormatting sqref="K11:K12">
    <cfRule type="containsText" dxfId="1189" priority="141" operator="containsText" text="OJT">
      <formula>NOT(ISERROR(SEARCH("OJT",K11)))</formula>
    </cfRule>
  </conditionalFormatting>
  <conditionalFormatting sqref="K11:K13 I13:M13">
    <cfRule type="containsText" dxfId="1188" priority="130" operator="containsText" text="OJT">
      <formula>NOT(ISERROR(SEARCH("OJT",I11)))</formula>
    </cfRule>
  </conditionalFormatting>
  <conditionalFormatting sqref="K11:K13">
    <cfRule type="expression" dxfId="1187" priority="134">
      <formula>K$2="Sun"</formula>
    </cfRule>
    <cfRule type="expression" dxfId="1186" priority="133">
      <formula>K$2="Sat"</formula>
    </cfRule>
    <cfRule type="expression" dxfId="1185" priority="132">
      <formula>K$2="Sun"</formula>
    </cfRule>
    <cfRule type="expression" dxfId="1184" priority="131">
      <formula>K$2="Sat"</formula>
    </cfRule>
  </conditionalFormatting>
  <conditionalFormatting sqref="K14:K15">
    <cfRule type="expression" dxfId="1183" priority="212">
      <formula>K$2="Sun"</formula>
    </cfRule>
  </conditionalFormatting>
  <conditionalFormatting sqref="K6:L6 K7 S5:AF5 S6:AB6 AB5:AB6 Z6:Z8 Z9:AD10 AD5:AD12 I6:J7 AC6:AF8 AF8:AH12 J11:AD12 W13 AC14:AD15 AG14:AI15 P5:P8 E6:G6 Z7:AC8 F10:F12">
    <cfRule type="expression" dxfId="1182" priority="1387">
      <formula>E$2="Sun"</formula>
    </cfRule>
  </conditionalFormatting>
  <conditionalFormatting sqref="K6:L6 S6:AB6">
    <cfRule type="containsText" dxfId="1181" priority="620" operator="containsText" text="OJT">
      <formula>NOT(ISERROR(SEARCH("OJT",K6)))</formula>
    </cfRule>
  </conditionalFormatting>
  <conditionalFormatting sqref="K11:L12">
    <cfRule type="expression" dxfId="1180" priority="138">
      <formula>K$2="Sun"</formula>
    </cfRule>
  </conditionalFormatting>
  <conditionalFormatting sqref="L5:L11 K6:K8 G6:H10 M6:R11 F7:G9 E7:E12 I8:K11 S9:Y9 S10:T10 I12:R12 AG13:AH13 E13:H14 E14:AC15 AF14:AF15 AF15:AH15 W5:W10 S6:V6 R13">
    <cfRule type="expression" dxfId="1179" priority="244">
      <formula>E$2="Sun"</formula>
    </cfRule>
  </conditionalFormatting>
  <conditionalFormatting sqref="L11:L12">
    <cfRule type="containsText" dxfId="1178" priority="137" operator="containsText" text="OJT">
      <formula>NOT(ISERROR(SEARCH("OJT",L11)))</formula>
    </cfRule>
    <cfRule type="expression" dxfId="1177" priority="136">
      <formula>L$2="Sun"</formula>
    </cfRule>
  </conditionalFormatting>
  <conditionalFormatting sqref="L13:M13">
    <cfRule type="expression" dxfId="1176" priority="157">
      <formula>L$2="Sat"</formula>
    </cfRule>
    <cfRule type="expression" dxfId="1175" priority="158">
      <formula>L$2="Sun"</formula>
    </cfRule>
  </conditionalFormatting>
  <conditionalFormatting sqref="L14:N15 N15:T15">
    <cfRule type="expression" dxfId="1174" priority="202">
      <formula>L$2="Sat"</formula>
    </cfRule>
  </conditionalFormatting>
  <conditionalFormatting sqref="M13">
    <cfRule type="expression" dxfId="1173" priority="155">
      <formula>M$2="Sat"</formula>
    </cfRule>
    <cfRule type="expression" dxfId="1172" priority="156">
      <formula>M$2="Sun"</formula>
    </cfRule>
  </conditionalFormatting>
  <conditionalFormatting sqref="N8:N10">
    <cfRule type="expression" dxfId="1171" priority="37">
      <formula>N$2="Sun"</formula>
    </cfRule>
    <cfRule type="expression" dxfId="1170" priority="36">
      <formula>N$2="Sat"</formula>
    </cfRule>
  </conditionalFormatting>
  <conditionalFormatting sqref="N14:N15 N15:T15">
    <cfRule type="expression" dxfId="1169" priority="196">
      <formula>N$2="Sun"</formula>
    </cfRule>
  </conditionalFormatting>
  <conditionalFormatting sqref="N13:AD13 AH9:AH12">
    <cfRule type="expression" dxfId="1168" priority="364">
      <formula>N$2="Sat"</formula>
    </cfRule>
  </conditionalFormatting>
  <conditionalFormatting sqref="N13:AD13">
    <cfRule type="containsText" dxfId="1167" priority="363" operator="containsText" text="OJT">
      <formula>NOT(ISERROR(SEARCH("OJT",N13)))</formula>
    </cfRule>
  </conditionalFormatting>
  <conditionalFormatting sqref="O14:O15">
    <cfRule type="expression" dxfId="1166" priority="192">
      <formula>O$2="Sun"</formula>
    </cfRule>
    <cfRule type="expression" dxfId="1165" priority="191">
      <formula>O$2="Sat"</formula>
    </cfRule>
  </conditionalFormatting>
  <conditionalFormatting sqref="O14:P15">
    <cfRule type="expression" dxfId="1164" priority="188">
      <formula>O$2="Sun"</formula>
    </cfRule>
  </conditionalFormatting>
  <conditionalFormatting sqref="P14:P15">
    <cfRule type="expression" dxfId="1163" priority="187">
      <formula>P$2="Sat"</formula>
    </cfRule>
  </conditionalFormatting>
  <conditionalFormatting sqref="P14:R15">
    <cfRule type="expression" dxfId="1162" priority="85">
      <formula>P$2="Sun"</formula>
    </cfRule>
  </conditionalFormatting>
  <conditionalFormatting sqref="Q5:R5">
    <cfRule type="expression" dxfId="1161" priority="606">
      <formula>Q$2="Sun"</formula>
    </cfRule>
  </conditionalFormatting>
  <conditionalFormatting sqref="Q14:R15">
    <cfRule type="expression" dxfId="1160" priority="84">
      <formula>Q$2="Sat"</formula>
    </cfRule>
  </conditionalFormatting>
  <conditionalFormatting sqref="R14:W15">
    <cfRule type="expression" dxfId="1159" priority="89">
      <formula>R$2="Sat"</formula>
    </cfRule>
    <cfRule type="expression" dxfId="1158" priority="90">
      <formula>R$2="Sun"</formula>
    </cfRule>
  </conditionalFormatting>
  <conditionalFormatting sqref="S11:S13">
    <cfRule type="containsText" dxfId="1157" priority="358" operator="containsText" text="OJT">
      <formula>NOT(ISERROR(SEARCH("OJT",S11)))</formula>
    </cfRule>
  </conditionalFormatting>
  <conditionalFormatting sqref="S13">
    <cfRule type="expression" dxfId="1156" priority="360">
      <formula>S$2="Sun"</formula>
    </cfRule>
  </conditionalFormatting>
  <conditionalFormatting sqref="S11:U12">
    <cfRule type="expression" dxfId="1155" priority="542">
      <formula>S$2="Sun"</formula>
    </cfRule>
    <cfRule type="expression" dxfId="1154" priority="541">
      <formula>S$2="Sat"</formula>
    </cfRule>
  </conditionalFormatting>
  <conditionalFormatting sqref="S11:V12">
    <cfRule type="containsText" dxfId="1153" priority="450" operator="containsText" text="OJT">
      <formula>NOT(ISERROR(SEARCH("OJT",S11)))</formula>
    </cfRule>
  </conditionalFormatting>
  <conditionalFormatting sqref="S7:Y8">
    <cfRule type="expression" dxfId="1152" priority="15">
      <formula>S$2="Sun"</formula>
    </cfRule>
  </conditionalFormatting>
  <conditionalFormatting sqref="S9:Y10">
    <cfRule type="expression" dxfId="1151" priority="32">
      <formula>S$2="Sat"</formula>
    </cfRule>
  </conditionalFormatting>
  <conditionalFormatting sqref="S7:AC8">
    <cfRule type="expression" dxfId="1150" priority="12">
      <formula>S$2="Sat"</formula>
    </cfRule>
  </conditionalFormatting>
  <conditionalFormatting sqref="S14:AC15">
    <cfRule type="expression" dxfId="1149" priority="128">
      <formula>S$2="Sat"</formula>
    </cfRule>
  </conditionalFormatting>
  <conditionalFormatting sqref="T8">
    <cfRule type="expression" dxfId="1148" priority="535">
      <formula>T$2="Sat"</formula>
    </cfRule>
  </conditionalFormatting>
  <conditionalFormatting sqref="T11:T12">
    <cfRule type="expression" dxfId="1147" priority="357">
      <formula>T$2="Sat"</formula>
    </cfRule>
    <cfRule type="containsText" dxfId="1146" priority="356" operator="containsText" text="OJT">
      <formula>NOT(ISERROR(SEARCH("OJT",T11)))</formula>
    </cfRule>
  </conditionalFormatting>
  <conditionalFormatting sqref="T13:V13 AG13:AH13 AF14:AH15">
    <cfRule type="expression" dxfId="1145" priority="355">
      <formula>T$2="Sun"</formula>
    </cfRule>
    <cfRule type="expression" dxfId="1144" priority="354">
      <formula>T$2="Sat"</formula>
    </cfRule>
  </conditionalFormatting>
  <conditionalFormatting sqref="U7:U8">
    <cfRule type="expression" dxfId="1143" priority="6">
      <formula>U$2="Sat"</formula>
    </cfRule>
    <cfRule type="expression" dxfId="1142" priority="7">
      <formula>U$2="Sun"</formula>
    </cfRule>
    <cfRule type="expression" dxfId="1141" priority="8">
      <formula>U$2="Sat"</formula>
    </cfRule>
    <cfRule type="expression" dxfId="1140" priority="10">
      <formula>U$2="Sat"</formula>
    </cfRule>
    <cfRule type="expression" dxfId="1139" priority="11">
      <formula>U$2="Sun"</formula>
    </cfRule>
    <cfRule type="expression" dxfId="1138" priority="13">
      <formula>U$2="Sun"</formula>
    </cfRule>
    <cfRule type="containsText" dxfId="1137" priority="9" operator="containsText" text="OJT">
      <formula>NOT(ISERROR(SEARCH("OJT",U7)))</formula>
    </cfRule>
    <cfRule type="containsText" dxfId="1136" priority="14" operator="containsText" text="OJT">
      <formula>NOT(ISERROR(SEARCH("OJT",U7)))</formula>
    </cfRule>
  </conditionalFormatting>
  <conditionalFormatting sqref="U10">
    <cfRule type="containsText" dxfId="1135" priority="34" operator="containsText" text="OJT">
      <formula>NOT(ISERROR(SEARCH("OJT",U10)))</formula>
    </cfRule>
    <cfRule type="expression" dxfId="1134" priority="30">
      <formula>U$2="Sat"</formula>
    </cfRule>
    <cfRule type="expression" dxfId="1133" priority="31">
      <formula>U$2="Sun"</formula>
    </cfRule>
    <cfRule type="containsText" dxfId="1132" priority="29" operator="containsText" text="OJT">
      <formula>NOT(ISERROR(SEARCH("OJT",U10)))</formula>
    </cfRule>
    <cfRule type="expression" dxfId="1131" priority="28">
      <formula>U$2="Sat"</formula>
    </cfRule>
    <cfRule type="expression" dxfId="1130" priority="27">
      <formula>U$2="Sun"</formula>
    </cfRule>
    <cfRule type="expression" dxfId="1129" priority="26">
      <formula>U$2="Sat"</formula>
    </cfRule>
    <cfRule type="expression" dxfId="1128" priority="33">
      <formula>U$2="Sun"</formula>
    </cfRule>
  </conditionalFormatting>
  <conditionalFormatting sqref="U11:V12">
    <cfRule type="expression" dxfId="1127" priority="524">
      <formula>U$2="Sun"</formula>
    </cfRule>
    <cfRule type="expression" dxfId="1126" priority="523">
      <formula>U$2="Sat"</formula>
    </cfRule>
  </conditionalFormatting>
  <conditionalFormatting sqref="U10:Y10">
    <cfRule type="expression" dxfId="1125" priority="35">
      <formula>U$2="Sun"</formula>
    </cfRule>
  </conditionalFormatting>
  <conditionalFormatting sqref="V11:V12">
    <cfRule type="expression" dxfId="1124" priority="518">
      <formula>V$2="Sun"</formula>
    </cfRule>
    <cfRule type="expression" dxfId="1123" priority="517">
      <formula>V$2="Sat"</formula>
    </cfRule>
  </conditionalFormatting>
  <conditionalFormatting sqref="W5:W7">
    <cfRule type="expression" dxfId="1122" priority="621">
      <formula>W$2="Sat"</formula>
    </cfRule>
  </conditionalFormatting>
  <conditionalFormatting sqref="W11:W13">
    <cfRule type="expression" dxfId="1121" priority="352">
      <formula>W$2="Sun"</formula>
    </cfRule>
    <cfRule type="expression" dxfId="1120" priority="347">
      <formula>W$2="Sun"</formula>
    </cfRule>
    <cfRule type="expression" dxfId="1119" priority="351">
      <formula>W$2="Sat"</formula>
    </cfRule>
  </conditionalFormatting>
  <conditionalFormatting sqref="W13">
    <cfRule type="expression" dxfId="1118" priority="346">
      <formula>W$2="Sat"</formula>
    </cfRule>
  </conditionalFormatting>
  <conditionalFormatting sqref="W11:Y13">
    <cfRule type="containsText" dxfId="1117" priority="322" operator="containsText" text="OJT">
      <formula>NOT(ISERROR(SEARCH("OJT",W11)))</formula>
    </cfRule>
  </conditionalFormatting>
  <conditionalFormatting sqref="X11:X15">
    <cfRule type="expression" dxfId="1116" priority="333">
      <formula>X$2="Sun"</formula>
    </cfRule>
    <cfRule type="expression" dxfId="1115" priority="331">
      <formula>X$2="Sat"</formula>
    </cfRule>
  </conditionalFormatting>
  <conditionalFormatting sqref="Y11:Y13">
    <cfRule type="expression" dxfId="1114" priority="323">
      <formula>Y$2="Sat"</formula>
    </cfRule>
    <cfRule type="expression" dxfId="1113" priority="324">
      <formula>Y$2="Sun"</formula>
    </cfRule>
  </conditionalFormatting>
  <conditionalFormatting sqref="Y14:Y15">
    <cfRule type="expression" dxfId="1112" priority="319">
      <formula>Y$2="Sat"</formula>
    </cfRule>
    <cfRule type="expression" dxfId="1111" priority="321">
      <formula>Y$2="Sun"</formula>
    </cfRule>
  </conditionalFormatting>
  <conditionalFormatting sqref="Z11:Z12">
    <cfRule type="expression" dxfId="1110" priority="316">
      <formula>Z$2="Sun"</formula>
    </cfRule>
    <cfRule type="expression" dxfId="1109" priority="315">
      <formula>Z$2="Sat"</formula>
    </cfRule>
  </conditionalFormatting>
  <conditionalFormatting sqref="Z13:AB15">
    <cfRule type="expression" dxfId="1108" priority="286">
      <formula>Z$2="Sun"</formula>
    </cfRule>
    <cfRule type="expression" dxfId="1107" priority="285">
      <formula>Z$2="Sat"</formula>
    </cfRule>
  </conditionalFormatting>
  <conditionalFormatting sqref="Z13:AC15">
    <cfRule type="containsText" dxfId="1106" priority="263" operator="containsText" text="OJT">
      <formula>NOT(ISERROR(SEARCH("OJT",Z13)))</formula>
    </cfRule>
  </conditionalFormatting>
  <conditionalFormatting sqref="Z11:AD12 AF11:AH12">
    <cfRule type="containsText" dxfId="1105" priority="314" operator="containsText" text="OJT">
      <formula>NOT(ISERROR(SEARCH("OJT",Z11)))</formula>
    </cfRule>
  </conditionalFormatting>
  <conditionalFormatting sqref="AA11:AB12">
    <cfRule type="expression" dxfId="1104" priority="471">
      <formula>AA$2="Sat"</formula>
    </cfRule>
    <cfRule type="expression" dxfId="1103" priority="472">
      <formula>AA$2="Sun"</formula>
    </cfRule>
  </conditionalFormatting>
  <conditionalFormatting sqref="AB9:AB10">
    <cfRule type="containsText" dxfId="1102" priority="4" operator="containsText" text="OJT">
      <formula>NOT(ISERROR(SEARCH("OJT",AB9)))</formula>
    </cfRule>
  </conditionalFormatting>
  <conditionalFormatting sqref="AB14:AB15">
    <cfRule type="expression" dxfId="1101" priority="284">
      <formula>AB$2="Sun"</formula>
    </cfRule>
  </conditionalFormatting>
  <conditionalFormatting sqref="AB10:AC10">
    <cfRule type="expression" dxfId="1100" priority="614">
      <formula>AB$2="Sat"</formula>
    </cfRule>
    <cfRule type="expression" dxfId="1099" priority="615">
      <formula>AB$2="Sun"</formula>
    </cfRule>
  </conditionalFormatting>
  <conditionalFormatting sqref="AB10:AD10">
    <cfRule type="containsText" dxfId="1098" priority="579" operator="containsText" text="OJT">
      <formula>NOT(ISERROR(SEARCH("OJT",AB10)))</formula>
    </cfRule>
  </conditionalFormatting>
  <conditionalFormatting sqref="AB11:AD12">
    <cfRule type="expression" dxfId="1097" priority="455">
      <formula>AB$2="Sat"</formula>
    </cfRule>
    <cfRule type="expression" dxfId="1096" priority="456">
      <formula>AB$2="Sun"</formula>
    </cfRule>
  </conditionalFormatting>
  <conditionalFormatting sqref="AB14:AD15">
    <cfRule type="expression" dxfId="1095" priority="283">
      <formula>AB$2="Sat"</formula>
    </cfRule>
  </conditionalFormatting>
  <conditionalFormatting sqref="AC6:AC12">
    <cfRule type="containsText" dxfId="1094" priority="454" operator="containsText" text="OJT">
      <formula>NOT(ISERROR(SEARCH("OJT",AC6)))</formula>
    </cfRule>
  </conditionalFormatting>
  <conditionalFormatting sqref="AC9">
    <cfRule type="expression" dxfId="1093" priority="270">
      <formula>AC$2="Sat"</formula>
    </cfRule>
    <cfRule type="expression" dxfId="1092" priority="276">
      <formula>AC$2="Sun"</formula>
    </cfRule>
    <cfRule type="containsText" dxfId="1091" priority="274" operator="containsText" text="OJT">
      <formula>NOT(ISERROR(SEARCH("OJT",AC9)))</formula>
    </cfRule>
    <cfRule type="expression" dxfId="1090" priority="275">
      <formula>AC$2="Sat"</formula>
    </cfRule>
    <cfRule type="expression" dxfId="1089" priority="273">
      <formula>AC$2="Sun"</formula>
    </cfRule>
    <cfRule type="expression" dxfId="1088" priority="272">
      <formula>AC$2="Sat"</formula>
    </cfRule>
    <cfRule type="expression" dxfId="1087" priority="271">
      <formula>AC$2="Sun"</formula>
    </cfRule>
  </conditionalFormatting>
  <conditionalFormatting sqref="AC11:AC12">
    <cfRule type="expression" dxfId="1086" priority="453">
      <formula>AC$2="Sun"</formula>
    </cfRule>
  </conditionalFormatting>
  <conditionalFormatting sqref="AC13:AC15">
    <cfRule type="expression" dxfId="1085" priority="264">
      <formula>AC$2="Sat"</formula>
    </cfRule>
    <cfRule type="expression" dxfId="1084" priority="265">
      <formula>AC$2="Sun"</formula>
    </cfRule>
  </conditionalFormatting>
  <conditionalFormatting sqref="AC14:AC15">
    <cfRule type="containsText" dxfId="1083" priority="124" operator="containsText" text="OJT">
      <formula>NOT(ISERROR(SEARCH("OJT",AC14)))</formula>
    </cfRule>
    <cfRule type="expression" dxfId="1082" priority="125">
      <formula>AC$2="Sat"</formula>
    </cfRule>
    <cfRule type="expression" dxfId="1081" priority="126">
      <formula>AC$2="Sun"</formula>
    </cfRule>
    <cfRule type="expression" dxfId="1080" priority="129">
      <formula>AC$2="Sun"</formula>
    </cfRule>
    <cfRule type="containsText" dxfId="1079" priority="127" operator="containsText" text="OJT">
      <formula>NOT(ISERROR(SEARCH("OJT",AC14)))</formula>
    </cfRule>
  </conditionalFormatting>
  <conditionalFormatting sqref="AC9:AD9">
    <cfRule type="containsText" dxfId="1078" priority="259" operator="containsText" text="OJT">
      <formula>NOT(ISERROR(SEARCH("OJT",AC9)))</formula>
    </cfRule>
  </conditionalFormatting>
  <conditionalFormatting sqref="AC14:AD15">
    <cfRule type="expression" dxfId="1077" priority="121">
      <formula>AC$2="Sun"</formula>
    </cfRule>
    <cfRule type="expression" dxfId="1076" priority="120">
      <formula>AC$2="Sat"</formula>
    </cfRule>
  </conditionalFormatting>
  <conditionalFormatting sqref="AD5:AD12 S7:T8 E5:AF5 AB5:AB6 L5:L11 E5:E12 I5:K12 E6:H11 M6:R11 E12:R12 V7:AB8 S9:Y9 S10:T10 V10:Y10 E13:H14 E14:M15">
    <cfRule type="containsText" dxfId="1075" priority="605" operator="containsText" text="OJT">
      <formula>NOT(ISERROR(SEARCH("OJT",E5)))</formula>
    </cfRule>
  </conditionalFormatting>
  <conditionalFormatting sqref="AD9">
    <cfRule type="containsText" dxfId="1074" priority="421" operator="containsText" text="OJT">
      <formula>NOT(ISERROR(SEARCH("OJT",AD9)))</formula>
    </cfRule>
    <cfRule type="expression" dxfId="1073" priority="428">
      <formula>AD$2="Sun"</formula>
    </cfRule>
    <cfRule type="containsText" dxfId="1072" priority="429" operator="containsText" text="OJT">
      <formula>NOT(ISERROR(SEARCH("OJT",AD9)))</formula>
    </cfRule>
    <cfRule type="expression" dxfId="1071" priority="427">
      <formula>AD$2="Sat"</formula>
    </cfRule>
    <cfRule type="expression" dxfId="1070" priority="430">
      <formula>AD$2="Sat"</formula>
    </cfRule>
    <cfRule type="expression" dxfId="1069" priority="431">
      <formula>AD$2="Sun"</formula>
    </cfRule>
    <cfRule type="containsText" dxfId="1068" priority="432" operator="containsText" text="OJT">
      <formula>NOT(ISERROR(SEARCH("OJT",AD9)))</formula>
    </cfRule>
    <cfRule type="expression" dxfId="1067" priority="422">
      <formula>AD$2="Sat"</formula>
    </cfRule>
    <cfRule type="expression" dxfId="1066" priority="423">
      <formula>AD$2="Sun"</formula>
    </cfRule>
  </conditionalFormatting>
  <conditionalFormatting sqref="AD9:AD10">
    <cfRule type="expression" dxfId="1065" priority="581">
      <formula>AD$2="Sun"</formula>
    </cfRule>
    <cfRule type="expression" dxfId="1064" priority="580">
      <formula>AD$2="Sat"</formula>
    </cfRule>
  </conditionalFormatting>
  <conditionalFormatting sqref="AD13">
    <cfRule type="expression" dxfId="1063" priority="258">
      <formula>AD$2="Sun"</formula>
    </cfRule>
    <cfRule type="expression" dxfId="1062" priority="257">
      <formula>AD$2="Sat"</formula>
    </cfRule>
  </conditionalFormatting>
  <conditionalFormatting sqref="AD13:AD15">
    <cfRule type="containsText" dxfId="1061" priority="119" operator="containsText" text="OJT">
      <formula>NOT(ISERROR(SEARCH("OJT",AD13)))</formula>
    </cfRule>
  </conditionalFormatting>
  <conditionalFormatting sqref="AD14:AD15">
    <cfRule type="expression" dxfId="1060" priority="114">
      <formula>AD$2="Sat"</formula>
    </cfRule>
    <cfRule type="expression" dxfId="1059" priority="115">
      <formula>AD$2="Sun"</formula>
    </cfRule>
    <cfRule type="expression" dxfId="1058" priority="110">
      <formula>AD$2="Sun"</formula>
    </cfRule>
    <cfRule type="expression" dxfId="1057" priority="109">
      <formula>AD$2="Sat"</formula>
    </cfRule>
    <cfRule type="containsText" dxfId="1056" priority="113" operator="containsText" text="OJT">
      <formula>NOT(ISERROR(SEARCH("OJT",AD14)))</formula>
    </cfRule>
    <cfRule type="containsText" dxfId="1055" priority="116" operator="containsText" text="OJT">
      <formula>NOT(ISERROR(SEARCH("OJT",AD14)))</formula>
    </cfRule>
    <cfRule type="expression" dxfId="1054" priority="117">
      <formula>AD$2="Sat"</formula>
    </cfRule>
    <cfRule type="expression" dxfId="1053" priority="118">
      <formula>AD$2="Sun"</formula>
    </cfRule>
  </conditionalFormatting>
  <conditionalFormatting sqref="AE9:AE15">
    <cfRule type="expression" dxfId="1052" priority="60">
      <formula>AE$2="Sat"</formula>
    </cfRule>
    <cfRule type="expression" dxfId="1051" priority="52">
      <formula>AE$2="Sun"</formula>
    </cfRule>
    <cfRule type="expression" dxfId="1050" priority="51">
      <formula>AE$2="Sat"</formula>
    </cfRule>
    <cfRule type="expression" dxfId="1049" priority="64">
      <formula>AE$2="Sun"</formula>
    </cfRule>
    <cfRule type="containsText" dxfId="1048" priority="62" operator="containsText" text="OJT">
      <formula>NOT(ISERROR(SEARCH("OJT",AE9)))</formula>
    </cfRule>
    <cfRule type="containsText" dxfId="1047" priority="59" operator="containsText" text="OJT">
      <formula>NOT(ISERROR(SEARCH("OJT",AE9)))</formula>
    </cfRule>
    <cfRule type="expression" dxfId="1046" priority="58">
      <formula>AE$2="Sun"</formula>
    </cfRule>
    <cfRule type="expression" dxfId="1045" priority="57">
      <formula>AE$2="Sat"</formula>
    </cfRule>
    <cfRule type="expression" dxfId="1044" priority="56">
      <formula>AE$2="Sun"</formula>
    </cfRule>
    <cfRule type="expression" dxfId="1043" priority="55">
      <formula>AE$2="Sat"</formula>
    </cfRule>
    <cfRule type="containsText" dxfId="1042" priority="54" operator="containsText" text="OJT">
      <formula>NOT(ISERROR(SEARCH("OJT",AE9)))</formula>
    </cfRule>
    <cfRule type="expression" dxfId="1041" priority="61">
      <formula>AE$2="Sun"</formula>
    </cfRule>
    <cfRule type="expression" dxfId="1040" priority="53">
      <formula>AE$2="Sat"</formula>
    </cfRule>
  </conditionalFormatting>
  <conditionalFormatting sqref="AE5:AF5">
    <cfRule type="containsText" dxfId="1039" priority="42" operator="containsText" text="OJT">
      <formula>NOT(ISERROR(SEARCH("OJT",AE5)))</formula>
    </cfRule>
  </conditionalFormatting>
  <conditionalFormatting sqref="AF11:AF12">
    <cfRule type="expression" dxfId="1038" priority="392">
      <formula>AF$2="Sun"</formula>
    </cfRule>
  </conditionalFormatting>
  <conditionalFormatting sqref="AF8:AH12 W13 G11:AD12">
    <cfRule type="expression" dxfId="1037" priority="366">
      <formula>G$2="Sat"</formula>
    </cfRule>
  </conditionalFormatting>
  <conditionalFormatting sqref="AF9:AH9">
    <cfRule type="containsText" dxfId="1036" priority="408" operator="containsText" text="OJT">
      <formula>NOT(ISERROR(SEARCH("OJT",AF9)))</formula>
    </cfRule>
    <cfRule type="expression" dxfId="1035" priority="409">
      <formula>AF$2="Sat"</formula>
    </cfRule>
    <cfRule type="expression" dxfId="1034" priority="414">
      <formula>AF$2="Sat"</formula>
    </cfRule>
    <cfRule type="expression" dxfId="1033" priority="412">
      <formula>AF$2="Sun"</formula>
    </cfRule>
    <cfRule type="containsText" dxfId="1032" priority="413" operator="containsText" text="OJT">
      <formula>NOT(ISERROR(SEARCH("OJT",AF9)))</formula>
    </cfRule>
    <cfRule type="expression" dxfId="1031" priority="411">
      <formula>AF$2="Sat"</formula>
    </cfRule>
    <cfRule type="expression" dxfId="1030" priority="410">
      <formula>AF$2="Sun"</formula>
    </cfRule>
    <cfRule type="expression" dxfId="1029" priority="415">
      <formula>AF$2="Sun"</formula>
    </cfRule>
  </conditionalFormatting>
  <conditionalFormatting sqref="AF9:AH10 AH9:AH12 N13:AD13">
    <cfRule type="expression" dxfId="1028" priority="365">
      <formula>N$2="Sun"</formula>
    </cfRule>
  </conditionalFormatting>
  <conditionalFormatting sqref="AF9:AH13 AF13:AF15 AF15:AH15">
    <cfRule type="expression" dxfId="1027" priority="47">
      <formula>AF$2="Sat"</formula>
    </cfRule>
  </conditionalFormatting>
  <conditionalFormatting sqref="AF11:AH12">
    <cfRule type="expression" dxfId="1026" priority="397">
      <formula>AF$2="Sun"</formula>
    </cfRule>
    <cfRule type="expression" dxfId="1025" priority="396">
      <formula>AF$2="Sat"</formula>
    </cfRule>
  </conditionalFormatting>
  <conditionalFormatting sqref="AF11:AH13 AF13:AF15 AF15:AH15">
    <cfRule type="expression" dxfId="1024" priority="49">
      <formula>AF$2="Sun"</formula>
    </cfRule>
  </conditionalFormatting>
  <conditionalFormatting sqref="AF13:AH13 AF13:AF15 AF15:AH15">
    <cfRule type="containsText" dxfId="1023" priority="48" operator="containsText" text="OJT">
      <formula>NOT(ISERROR(SEARCH("OJT",AF13)))</formula>
    </cfRule>
  </conditionalFormatting>
  <conditionalFormatting sqref="AG5:AH8 AH5:AH12">
    <cfRule type="expression" dxfId="1022" priority="546">
      <formula>AG$2="Sat"</formula>
    </cfRule>
    <cfRule type="expression" dxfId="1021" priority="547">
      <formula>AG$2="Sun"</formula>
    </cfRule>
  </conditionalFormatting>
  <conditionalFormatting sqref="AG13:AH13 AF14:AF15 AF15:AH15 T13:V13">
    <cfRule type="containsText" dxfId="1020" priority="353" operator="containsText" text="OJT">
      <formula>NOT(ISERROR(SEARCH("OJT",T13)))</formula>
    </cfRule>
  </conditionalFormatting>
  <conditionalFormatting sqref="AG13:AH13 AF14:AF15 AF15:AH15">
    <cfRule type="containsText" dxfId="1019" priority="80" operator="containsText" text="OJT">
      <formula>NOT(ISERROR(SEARCH("OJT",AF13)))</formula>
    </cfRule>
  </conditionalFormatting>
  <conditionalFormatting sqref="AH5:AH12 AG5:AH8">
    <cfRule type="containsText" dxfId="1018" priority="544" operator="containsText" text="OJT">
      <formula>NOT(ISERROR(SEARCH("OJT",AG5)))</formula>
    </cfRule>
  </conditionalFormatting>
  <conditionalFormatting sqref="AI5:AI12">
    <cfRule type="containsText" dxfId="1017" priority="1" operator="containsText" text="OJT">
      <formula>NOT(ISERROR(SEARCH("OJT",AI5)))</formula>
    </cfRule>
    <cfRule type="expression" dxfId="1016" priority="3">
      <formula>AI$2="Sun"</formula>
    </cfRule>
  </conditionalFormatting>
  <conditionalFormatting sqref="AI5:AI13">
    <cfRule type="expression" dxfId="1015" priority="2">
      <formula>AI$2="Sat"</formula>
    </cfRule>
  </conditionalFormatting>
  <conditionalFormatting sqref="AI13">
    <cfRule type="containsText" dxfId="1014" priority="40" operator="containsText" text="OJT">
      <formula>NOT(ISERROR(SEARCH("OJT",AI13)))</formula>
    </cfRule>
    <cfRule type="expression" dxfId="1013" priority="41">
      <formula>AI$2="Sun"</formula>
    </cfRule>
  </conditionalFormatting>
  <dataValidations count="2">
    <dataValidation type="list" allowBlank="1" showInputMessage="1" showErrorMessage="1" sqref="E14:G15 AG13:AI15 E13:AE13 I14:AF15 E5:AI12" xr:uid="{00000000-0002-0000-0F00-000000000000}">
      <formula1>"A,P,P12,WO,HD,OJT"</formula1>
    </dataValidation>
    <dataValidation type="list" allowBlank="1" showInputMessage="1" showErrorMessage="1" sqref="C5:C12 C14:C15" xr:uid="{00000000-0002-0000-0F00-000001000000}">
      <formula1>Designation</formula1>
    </dataValidation>
  </dataValidations>
  <pageMargins left="0.17" right="0.17" top="0.75" bottom="1.58" header="0.3" footer="0.3"/>
  <pageSetup scale="51" orientation="landscape" r:id="rId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AU55"/>
  <sheetViews>
    <sheetView showGridLines="0" zoomScale="80" zoomScaleNormal="80" workbookViewId="0">
      <pane xSplit="4" ySplit="3" topLeftCell="E4" activePane="bottomRight" state="frozen"/>
      <selection activeCell="Y12" sqref="Y12"/>
      <selection pane="topRight" activeCell="Y12" sqref="Y12"/>
      <selection pane="bottomLeft" activeCell="Y12" sqref="Y12"/>
      <selection pane="bottomRight" activeCell="Z10" sqref="Z10"/>
    </sheetView>
  </sheetViews>
  <sheetFormatPr defaultColWidth="0" defaultRowHeight="16.5" zeroHeight="1"/>
  <cols>
    <col min="1" max="1" width="6.28515625" style="58" customWidth="1"/>
    <col min="2" max="2" width="23.42578125" style="58" customWidth="1"/>
    <col min="3" max="3" width="12.28515625" style="58" bestFit="1" customWidth="1"/>
    <col min="4" max="4" width="9.42578125" style="54" bestFit="1" customWidth="1"/>
    <col min="5" max="11" width="4.42578125" style="58" customWidth="1"/>
    <col min="12" max="12" width="4.7109375" style="58" customWidth="1"/>
    <col min="13" max="13" width="4" style="58" customWidth="1"/>
    <col min="14" max="16" width="4.42578125" style="58" customWidth="1"/>
    <col min="17" max="17" width="3.85546875" style="58" customWidth="1"/>
    <col min="18" max="25" width="4.42578125" style="58" customWidth="1"/>
    <col min="26" max="28" width="4.85546875" style="58" bestFit="1" customWidth="1"/>
    <col min="29" max="29" width="6.85546875" style="58" customWidth="1"/>
    <col min="30" max="30" width="6" style="58" customWidth="1"/>
    <col min="31" max="33" width="4.42578125" style="58" customWidth="1"/>
    <col min="34" max="34" width="5.140625" style="58" bestFit="1" customWidth="1"/>
    <col min="35" max="35" width="4.28515625" style="58" customWidth="1"/>
    <col min="36" max="39" width="7.28515625" style="58" customWidth="1"/>
    <col min="40" max="43" width="8.7109375" style="58" customWidth="1"/>
    <col min="44" max="44" width="12" style="58" customWidth="1"/>
    <col min="45" max="45" width="9.42578125" style="58" customWidth="1"/>
    <col min="46" max="47" width="9.140625" style="58" customWidth="1"/>
    <col min="48" max="16384" width="9.140625" style="58" hidden="1"/>
  </cols>
  <sheetData>
    <row r="1" spans="1:45" ht="29.25" customHeight="1" thickBot="1">
      <c r="A1" s="242" t="str">
        <f>Summary!R5</f>
        <v>SOC</v>
      </c>
      <c r="B1" s="53"/>
      <c r="C1" s="53"/>
      <c r="E1" s="243" t="s">
        <v>292</v>
      </c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X1" s="243"/>
      <c r="Y1" s="243"/>
      <c r="Z1" s="243"/>
      <c r="AA1" s="449">
        <f>Summary!R4</f>
        <v>46054</v>
      </c>
      <c r="AB1" s="449"/>
      <c r="AC1" s="449"/>
      <c r="AD1" s="449"/>
      <c r="AE1" s="243"/>
      <c r="AF1" s="243"/>
      <c r="AG1" s="243"/>
      <c r="AH1" s="243"/>
      <c r="AI1" s="243"/>
      <c r="AJ1" s="55" t="s">
        <v>245</v>
      </c>
      <c r="AK1" s="56"/>
      <c r="AL1" s="56"/>
      <c r="AM1" s="56"/>
      <c r="AN1" s="56"/>
      <c r="AO1" s="56"/>
      <c r="AP1" s="56"/>
      <c r="AQ1" s="56"/>
      <c r="AR1" s="56"/>
      <c r="AS1" s="57"/>
    </row>
    <row r="2" spans="1:45" ht="30">
      <c r="A2" s="59" t="s">
        <v>70</v>
      </c>
      <c r="B2" s="313">
        <v>24</v>
      </c>
      <c r="C2" s="60"/>
      <c r="D2" s="61"/>
      <c r="E2" s="62" t="str">
        <f>TEXT(E3,"ddd")</f>
        <v>Sun</v>
      </c>
      <c r="F2" s="62" t="str">
        <f t="shared" ref="F2:AI2" si="0">TEXT(F3,"ddd")</f>
        <v>Mon</v>
      </c>
      <c r="G2" s="62" t="str">
        <f t="shared" si="0"/>
        <v>Tue</v>
      </c>
      <c r="H2" s="62" t="str">
        <f t="shared" si="0"/>
        <v>Wed</v>
      </c>
      <c r="I2" s="62" t="str">
        <f t="shared" si="0"/>
        <v>Thu</v>
      </c>
      <c r="J2" s="62" t="str">
        <f t="shared" si="0"/>
        <v>Fri</v>
      </c>
      <c r="K2" s="62" t="str">
        <f t="shared" si="0"/>
        <v>Sat</v>
      </c>
      <c r="L2" s="62" t="str">
        <f t="shared" si="0"/>
        <v>Sun</v>
      </c>
      <c r="M2" s="62" t="str">
        <f t="shared" si="0"/>
        <v>Mon</v>
      </c>
      <c r="N2" s="62" t="str">
        <f t="shared" si="0"/>
        <v>Tue</v>
      </c>
      <c r="O2" s="62" t="str">
        <f t="shared" si="0"/>
        <v>Wed</v>
      </c>
      <c r="P2" s="62" t="str">
        <f t="shared" si="0"/>
        <v>Thu</v>
      </c>
      <c r="Q2" s="62" t="str">
        <f t="shared" si="0"/>
        <v>Fri</v>
      </c>
      <c r="R2" s="62" t="str">
        <f t="shared" si="0"/>
        <v>Sat</v>
      </c>
      <c r="S2" s="62" t="str">
        <f t="shared" si="0"/>
        <v>Sun</v>
      </c>
      <c r="T2" s="62" t="str">
        <f t="shared" si="0"/>
        <v>Mon</v>
      </c>
      <c r="U2" s="62" t="str">
        <f t="shared" si="0"/>
        <v>Tue</v>
      </c>
      <c r="V2" s="62" t="str">
        <f t="shared" si="0"/>
        <v>Wed</v>
      </c>
      <c r="W2" s="62" t="str">
        <f t="shared" si="0"/>
        <v>Thu</v>
      </c>
      <c r="X2" s="62" t="str">
        <f t="shared" si="0"/>
        <v>Fri</v>
      </c>
      <c r="Y2" s="62" t="str">
        <f t="shared" si="0"/>
        <v>Sat</v>
      </c>
      <c r="Z2" s="62" t="str">
        <f t="shared" si="0"/>
        <v>Sun</v>
      </c>
      <c r="AA2" s="62" t="str">
        <f t="shared" si="0"/>
        <v>Mon</v>
      </c>
      <c r="AB2" s="62" t="str">
        <f t="shared" si="0"/>
        <v>Tue</v>
      </c>
      <c r="AC2" s="62" t="str">
        <f t="shared" si="0"/>
        <v>Wed</v>
      </c>
      <c r="AD2" s="62" t="str">
        <f t="shared" si="0"/>
        <v>Thu</v>
      </c>
      <c r="AE2" s="62" t="str">
        <f t="shared" si="0"/>
        <v>Fri</v>
      </c>
      <c r="AF2" s="62" t="str">
        <f t="shared" si="0"/>
        <v>Sat</v>
      </c>
      <c r="AG2" s="62" t="str">
        <f t="shared" si="0"/>
        <v>Sun</v>
      </c>
      <c r="AH2" s="62" t="str">
        <f t="shared" si="0"/>
        <v>Mon</v>
      </c>
      <c r="AI2" s="62" t="str">
        <f t="shared" si="0"/>
        <v>Tue</v>
      </c>
      <c r="AJ2" s="63"/>
      <c r="AK2" s="64"/>
      <c r="AL2" s="64"/>
      <c r="AM2" s="64"/>
      <c r="AN2" s="64"/>
      <c r="AO2" s="64"/>
      <c r="AP2" s="64"/>
      <c r="AQ2" s="64"/>
      <c r="AR2" s="64"/>
      <c r="AS2" s="65"/>
    </row>
    <row r="3" spans="1:45" ht="72.75" customHeight="1">
      <c r="A3" s="66" t="s">
        <v>92</v>
      </c>
      <c r="B3" s="67" t="s">
        <v>72</v>
      </c>
      <c r="C3" s="66" t="s">
        <v>73</v>
      </c>
      <c r="D3" s="67" t="s">
        <v>87</v>
      </c>
      <c r="E3" s="62">
        <f>AA1</f>
        <v>46054</v>
      </c>
      <c r="F3" s="62">
        <f t="shared" ref="F3:AI3" si="1">E3+1</f>
        <v>46055</v>
      </c>
      <c r="G3" s="62">
        <f t="shared" si="1"/>
        <v>46056</v>
      </c>
      <c r="H3" s="62">
        <f t="shared" si="1"/>
        <v>46057</v>
      </c>
      <c r="I3" s="62">
        <f t="shared" si="1"/>
        <v>46058</v>
      </c>
      <c r="J3" s="62">
        <f t="shared" si="1"/>
        <v>46059</v>
      </c>
      <c r="K3" s="62">
        <f t="shared" si="1"/>
        <v>46060</v>
      </c>
      <c r="L3" s="62">
        <f t="shared" si="1"/>
        <v>46061</v>
      </c>
      <c r="M3" s="62">
        <f t="shared" si="1"/>
        <v>46062</v>
      </c>
      <c r="N3" s="62">
        <f t="shared" si="1"/>
        <v>46063</v>
      </c>
      <c r="O3" s="62">
        <f t="shared" si="1"/>
        <v>46064</v>
      </c>
      <c r="P3" s="62">
        <f t="shared" si="1"/>
        <v>46065</v>
      </c>
      <c r="Q3" s="62">
        <f t="shared" si="1"/>
        <v>46066</v>
      </c>
      <c r="R3" s="62">
        <f t="shared" si="1"/>
        <v>46067</v>
      </c>
      <c r="S3" s="62">
        <f t="shared" si="1"/>
        <v>46068</v>
      </c>
      <c r="T3" s="62">
        <f t="shared" si="1"/>
        <v>46069</v>
      </c>
      <c r="U3" s="62">
        <f t="shared" si="1"/>
        <v>46070</v>
      </c>
      <c r="V3" s="62">
        <f t="shared" si="1"/>
        <v>46071</v>
      </c>
      <c r="W3" s="62">
        <f t="shared" si="1"/>
        <v>46072</v>
      </c>
      <c r="X3" s="62">
        <f t="shared" si="1"/>
        <v>46073</v>
      </c>
      <c r="Y3" s="62">
        <f t="shared" si="1"/>
        <v>46074</v>
      </c>
      <c r="Z3" s="62">
        <f t="shared" si="1"/>
        <v>46075</v>
      </c>
      <c r="AA3" s="62">
        <f t="shared" si="1"/>
        <v>46076</v>
      </c>
      <c r="AB3" s="62">
        <f t="shared" si="1"/>
        <v>46077</v>
      </c>
      <c r="AC3" s="62">
        <f t="shared" si="1"/>
        <v>46078</v>
      </c>
      <c r="AD3" s="62">
        <f t="shared" si="1"/>
        <v>46079</v>
      </c>
      <c r="AE3" s="62">
        <f t="shared" si="1"/>
        <v>46080</v>
      </c>
      <c r="AF3" s="62">
        <f t="shared" si="1"/>
        <v>46081</v>
      </c>
      <c r="AG3" s="62">
        <f t="shared" si="1"/>
        <v>46082</v>
      </c>
      <c r="AH3" s="62">
        <f t="shared" si="1"/>
        <v>46083</v>
      </c>
      <c r="AI3" s="62">
        <f t="shared" si="1"/>
        <v>46084</v>
      </c>
      <c r="AJ3" s="68" t="s">
        <v>75</v>
      </c>
      <c r="AK3" s="68" t="s">
        <v>76</v>
      </c>
      <c r="AL3" s="68" t="s">
        <v>77</v>
      </c>
      <c r="AM3" s="68" t="s">
        <v>78</v>
      </c>
      <c r="AN3" s="69" t="s">
        <v>93</v>
      </c>
      <c r="AO3" s="69" t="s">
        <v>80</v>
      </c>
      <c r="AP3" s="69" t="s">
        <v>81</v>
      </c>
      <c r="AQ3" s="69" t="s">
        <v>82</v>
      </c>
      <c r="AR3" s="69" t="s">
        <v>4</v>
      </c>
      <c r="AS3" s="68" t="s">
        <v>63</v>
      </c>
    </row>
    <row r="4" spans="1:45" ht="20.25" customHeight="1">
      <c r="A4" s="291">
        <v>1</v>
      </c>
      <c r="B4" s="292" t="s">
        <v>94</v>
      </c>
      <c r="C4" s="293" t="s">
        <v>95</v>
      </c>
      <c r="D4" s="294">
        <f>20597.37/$B$2</f>
        <v>858.22375</v>
      </c>
      <c r="E4" s="70" t="s">
        <v>77</v>
      </c>
      <c r="F4" s="70" t="s">
        <v>478</v>
      </c>
      <c r="G4" s="70" t="s">
        <v>478</v>
      </c>
      <c r="H4" s="70" t="s">
        <v>478</v>
      </c>
      <c r="I4" s="70" t="s">
        <v>478</v>
      </c>
      <c r="J4" s="70" t="s">
        <v>478</v>
      </c>
      <c r="K4" s="70" t="s">
        <v>77</v>
      </c>
      <c r="L4" s="70" t="s">
        <v>478</v>
      </c>
      <c r="M4" s="70" t="s">
        <v>491</v>
      </c>
      <c r="N4" s="70" t="s">
        <v>492</v>
      </c>
      <c r="O4" s="70" t="s">
        <v>492</v>
      </c>
      <c r="P4" s="70" t="s">
        <v>492</v>
      </c>
      <c r="Q4" s="70" t="s">
        <v>488</v>
      </c>
      <c r="R4" s="85" t="s">
        <v>478</v>
      </c>
      <c r="S4" s="85" t="s">
        <v>77</v>
      </c>
      <c r="T4" s="70" t="s">
        <v>497</v>
      </c>
      <c r="U4" s="70" t="s">
        <v>498</v>
      </c>
      <c r="V4" s="70" t="s">
        <v>478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302">
        <f>COUNTIF(E4:AI4,"P*")</f>
        <v>15</v>
      </c>
      <c r="AK4" s="302">
        <f>COUNTIF(E4:AI4,"A")</f>
        <v>0</v>
      </c>
      <c r="AL4" s="302">
        <f>COUNTIF(E4:AI4,"WO")</f>
        <v>3</v>
      </c>
      <c r="AM4" s="302">
        <f>COUNTIF(E4:AI4,"HD")</f>
        <v>0</v>
      </c>
      <c r="AN4" s="302">
        <f>AJ4+AM4</f>
        <v>15</v>
      </c>
      <c r="AO4" s="302">
        <f>(COUNTIF(E4:AI4,"P1")*1)+(COUNTIF(E4:AI4,"P2")*2)+(COUNTIF(E4:AI4,"P3")*3)+(COUNTIF(E4:AI4,"P4")*4)+(COUNTIF(E4:AI4,"P5")*5)+(COUNTIF(E4:AI4,"P6")*6)+(COUNTIF(E4:AI4,"P7")*7)+(COUNTIF(E4:AI4,"P8")*8)</f>
        <v>26</v>
      </c>
      <c r="AP4" s="302">
        <f>AO4/8</f>
        <v>3.25</v>
      </c>
      <c r="AQ4" s="302">
        <f>AN4+AP4</f>
        <v>18.25</v>
      </c>
      <c r="AR4" s="303">
        <f>AQ4*D4</f>
        <v>15662.583437499999</v>
      </c>
      <c r="AS4" s="302"/>
    </row>
    <row r="5" spans="1:45" ht="21" customHeight="1">
      <c r="A5" s="291">
        <v>2</v>
      </c>
      <c r="B5" s="292" t="s">
        <v>484</v>
      </c>
      <c r="C5" s="293" t="s">
        <v>95</v>
      </c>
      <c r="D5" s="295">
        <f>18597/$B$2</f>
        <v>774.875</v>
      </c>
      <c r="E5" s="70" t="s">
        <v>77</v>
      </c>
      <c r="F5" s="70" t="s">
        <v>478</v>
      </c>
      <c r="G5" s="70" t="s">
        <v>478</v>
      </c>
      <c r="H5" s="70" t="s">
        <v>478</v>
      </c>
      <c r="I5" s="70" t="s">
        <v>478</v>
      </c>
      <c r="J5" s="70" t="s">
        <v>478</v>
      </c>
      <c r="K5" s="70" t="s">
        <v>478</v>
      </c>
      <c r="L5" s="70" t="s">
        <v>478</v>
      </c>
      <c r="M5" s="70" t="s">
        <v>492</v>
      </c>
      <c r="N5" s="70" t="s">
        <v>492</v>
      </c>
      <c r="O5" s="70" t="s">
        <v>478</v>
      </c>
      <c r="P5" s="70" t="s">
        <v>478</v>
      </c>
      <c r="Q5" s="70" t="s">
        <v>479</v>
      </c>
      <c r="R5" s="70" t="s">
        <v>478</v>
      </c>
      <c r="S5" s="70" t="s">
        <v>77</v>
      </c>
      <c r="T5" s="70" t="s">
        <v>479</v>
      </c>
      <c r="U5" s="70" t="s">
        <v>479</v>
      </c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302">
        <f t="shared" ref="AJ5:AJ11" si="2">COUNTIF(E5:AI5,"P*")</f>
        <v>12</v>
      </c>
      <c r="AK5" s="302">
        <f t="shared" ref="AK5:AK11" si="3">COUNTIF(E5:AI5,"A")</f>
        <v>3</v>
      </c>
      <c r="AL5" s="302">
        <f t="shared" ref="AL5:AL11" si="4">COUNTIF(E5:AI5,"WO")</f>
        <v>2</v>
      </c>
      <c r="AM5" s="302">
        <f t="shared" ref="AM5:AM11" si="5">COUNTIF(E5:AI5,"HD")</f>
        <v>0</v>
      </c>
      <c r="AN5" s="302">
        <f t="shared" ref="AN5:AN11" si="6">AJ5+AM5</f>
        <v>12</v>
      </c>
      <c r="AO5" s="302">
        <f t="shared" ref="AO5:AO11" si="7">(COUNTIF(E5:AI5,"P1")*1)+(COUNTIF(E5:AI5,"P2")*2)+(COUNTIF(E5:AI5,"P3")*3)+(COUNTIF(E5:AI5,"P4")*4)+(COUNTIF(E5:AI5,"P5")*5)+(COUNTIF(E5:AI5,"P6")*6)+(COUNTIF(E5:AI5,"P7")*7)+(COUNTIF(E5:AI5,"P8")*8)</f>
        <v>4</v>
      </c>
      <c r="AP5" s="302">
        <f t="shared" ref="AP5:AP11" si="8">AO5/8</f>
        <v>0.5</v>
      </c>
      <c r="AQ5" s="302">
        <f t="shared" ref="AQ5:AQ11" si="9">AN5+AP5</f>
        <v>12.5</v>
      </c>
      <c r="AR5" s="303">
        <f t="shared" ref="AR5:AR11" si="10">AQ5*D5</f>
        <v>9685.9375</v>
      </c>
      <c r="AS5" s="302"/>
    </row>
    <row r="6" spans="1:45" ht="21" customHeight="1">
      <c r="A6" s="291">
        <v>3</v>
      </c>
      <c r="B6" s="292" t="s">
        <v>242</v>
      </c>
      <c r="C6" s="293" t="s">
        <v>96</v>
      </c>
      <c r="D6" s="295">
        <f>17335.24/$B$2</f>
        <v>722.30166666666673</v>
      </c>
      <c r="E6" s="70" t="s">
        <v>478</v>
      </c>
      <c r="F6" s="70" t="s">
        <v>478</v>
      </c>
      <c r="G6" s="70" t="s">
        <v>478</v>
      </c>
      <c r="H6" s="70" t="s">
        <v>488</v>
      </c>
      <c r="I6" s="70" t="s">
        <v>488</v>
      </c>
      <c r="J6" s="70" t="s">
        <v>488</v>
      </c>
      <c r="K6" s="70" t="s">
        <v>478</v>
      </c>
      <c r="L6" s="70" t="s">
        <v>478</v>
      </c>
      <c r="M6" s="70" t="s">
        <v>488</v>
      </c>
      <c r="N6" s="70" t="s">
        <v>488</v>
      </c>
      <c r="O6" s="70" t="s">
        <v>488</v>
      </c>
      <c r="P6" s="70" t="s">
        <v>488</v>
      </c>
      <c r="Q6" s="70" t="s">
        <v>488</v>
      </c>
      <c r="R6" s="85" t="s">
        <v>478</v>
      </c>
      <c r="S6" s="85" t="s">
        <v>478</v>
      </c>
      <c r="T6" s="85" t="s">
        <v>498</v>
      </c>
      <c r="U6" s="70" t="s">
        <v>478</v>
      </c>
      <c r="V6" s="70" t="s">
        <v>478</v>
      </c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302">
        <f t="shared" si="2"/>
        <v>18</v>
      </c>
      <c r="AK6" s="302">
        <f t="shared" si="3"/>
        <v>0</v>
      </c>
      <c r="AL6" s="302">
        <f t="shared" si="4"/>
        <v>0</v>
      </c>
      <c r="AM6" s="302">
        <f t="shared" si="5"/>
        <v>0</v>
      </c>
      <c r="AN6" s="302">
        <f t="shared" si="6"/>
        <v>18</v>
      </c>
      <c r="AO6" s="302">
        <f t="shared" si="7"/>
        <v>52</v>
      </c>
      <c r="AP6" s="302">
        <f t="shared" si="8"/>
        <v>6.5</v>
      </c>
      <c r="AQ6" s="302">
        <f t="shared" si="9"/>
        <v>24.5</v>
      </c>
      <c r="AR6" s="303">
        <f t="shared" si="10"/>
        <v>17696.390833333335</v>
      </c>
      <c r="AS6" s="302"/>
    </row>
    <row r="7" spans="1:45" ht="21" customHeight="1">
      <c r="A7" s="291">
        <v>4</v>
      </c>
      <c r="B7" s="292" t="s">
        <v>243</v>
      </c>
      <c r="C7" s="296" t="s">
        <v>96</v>
      </c>
      <c r="D7" s="295">
        <f t="shared" ref="D7:D22" si="11">17335.24/$B$2</f>
        <v>722.30166666666673</v>
      </c>
      <c r="E7" s="70" t="s">
        <v>77</v>
      </c>
      <c r="F7" s="70" t="s">
        <v>478</v>
      </c>
      <c r="G7" s="70" t="s">
        <v>478</v>
      </c>
      <c r="H7" s="70" t="s">
        <v>479</v>
      </c>
      <c r="I7" s="70" t="s">
        <v>479</v>
      </c>
      <c r="J7" s="70" t="s">
        <v>479</v>
      </c>
      <c r="K7" s="70" t="s">
        <v>479</v>
      </c>
      <c r="L7" s="70" t="s">
        <v>479</v>
      </c>
      <c r="M7" s="70" t="s">
        <v>479</v>
      </c>
      <c r="N7" s="70" t="s">
        <v>479</v>
      </c>
      <c r="O7" s="70" t="s">
        <v>479</v>
      </c>
      <c r="P7" s="70" t="s">
        <v>479</v>
      </c>
      <c r="Q7" s="70" t="s">
        <v>479</v>
      </c>
      <c r="R7" s="85" t="s">
        <v>479</v>
      </c>
      <c r="S7" s="85" t="s">
        <v>479</v>
      </c>
      <c r="T7" s="85" t="s">
        <v>478</v>
      </c>
      <c r="U7" s="85" t="s">
        <v>478</v>
      </c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70"/>
      <c r="AH7" s="70"/>
      <c r="AI7" s="70"/>
      <c r="AJ7" s="302">
        <f t="shared" si="2"/>
        <v>4</v>
      </c>
      <c r="AK7" s="302">
        <f t="shared" si="3"/>
        <v>12</v>
      </c>
      <c r="AL7" s="302">
        <f t="shared" si="4"/>
        <v>1</v>
      </c>
      <c r="AM7" s="302">
        <f t="shared" si="5"/>
        <v>0</v>
      </c>
      <c r="AN7" s="302">
        <f t="shared" si="6"/>
        <v>4</v>
      </c>
      <c r="AO7" s="302">
        <f t="shared" si="7"/>
        <v>0</v>
      </c>
      <c r="AP7" s="302">
        <f t="shared" si="8"/>
        <v>0</v>
      </c>
      <c r="AQ7" s="302">
        <f t="shared" si="9"/>
        <v>4</v>
      </c>
      <c r="AR7" s="303">
        <f t="shared" si="10"/>
        <v>2889.2066666666669</v>
      </c>
      <c r="AS7" s="302"/>
    </row>
    <row r="8" spans="1:45" ht="20.25" customHeight="1">
      <c r="A8" s="291">
        <v>5</v>
      </c>
      <c r="B8" s="292" t="s">
        <v>97</v>
      </c>
      <c r="C8" s="296" t="s">
        <v>102</v>
      </c>
      <c r="D8" s="295">
        <f t="shared" si="11"/>
        <v>722.30166666666673</v>
      </c>
      <c r="E8" s="70" t="s">
        <v>77</v>
      </c>
      <c r="F8" s="70" t="s">
        <v>478</v>
      </c>
      <c r="G8" s="70" t="s">
        <v>478</v>
      </c>
      <c r="H8" s="70" t="s">
        <v>478</v>
      </c>
      <c r="I8" s="70" t="s">
        <v>478</v>
      </c>
      <c r="J8" s="70" t="s">
        <v>478</v>
      </c>
      <c r="K8" s="70" t="s">
        <v>478</v>
      </c>
      <c r="L8" s="70" t="s">
        <v>478</v>
      </c>
      <c r="M8" s="70" t="s">
        <v>478</v>
      </c>
      <c r="N8" s="70" t="s">
        <v>478</v>
      </c>
      <c r="O8" s="70" t="s">
        <v>478</v>
      </c>
      <c r="P8" s="70" t="s">
        <v>478</v>
      </c>
      <c r="Q8" s="70" t="s">
        <v>478</v>
      </c>
      <c r="R8" s="85" t="s">
        <v>479</v>
      </c>
      <c r="S8" s="85" t="s">
        <v>479</v>
      </c>
      <c r="T8" s="85" t="s">
        <v>479</v>
      </c>
      <c r="U8" s="70" t="s">
        <v>479</v>
      </c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302">
        <f t="shared" si="2"/>
        <v>12</v>
      </c>
      <c r="AK8" s="302">
        <f t="shared" si="3"/>
        <v>4</v>
      </c>
      <c r="AL8" s="302">
        <f t="shared" si="4"/>
        <v>1</v>
      </c>
      <c r="AM8" s="302">
        <f t="shared" si="5"/>
        <v>0</v>
      </c>
      <c r="AN8" s="302">
        <f t="shared" si="6"/>
        <v>12</v>
      </c>
      <c r="AO8" s="302">
        <f t="shared" si="7"/>
        <v>0</v>
      </c>
      <c r="AP8" s="302">
        <f t="shared" si="8"/>
        <v>0</v>
      </c>
      <c r="AQ8" s="302">
        <f t="shared" si="9"/>
        <v>12</v>
      </c>
      <c r="AR8" s="303">
        <f t="shared" si="10"/>
        <v>8667.6200000000008</v>
      </c>
      <c r="AS8" s="302"/>
    </row>
    <row r="9" spans="1:45" ht="21" customHeight="1">
      <c r="A9" s="291">
        <v>6</v>
      </c>
      <c r="B9" s="292" t="s">
        <v>467</v>
      </c>
      <c r="C9" s="296" t="s">
        <v>182</v>
      </c>
      <c r="D9" s="295">
        <f t="shared" si="11"/>
        <v>722.30166666666673</v>
      </c>
      <c r="E9" s="70" t="s">
        <v>77</v>
      </c>
      <c r="F9" s="70" t="s">
        <v>478</v>
      </c>
      <c r="G9" s="70" t="s">
        <v>478</v>
      </c>
      <c r="H9" s="70" t="s">
        <v>478</v>
      </c>
      <c r="I9" s="70" t="s">
        <v>478</v>
      </c>
      <c r="J9" s="70" t="s">
        <v>478</v>
      </c>
      <c r="K9" s="70" t="s">
        <v>478</v>
      </c>
      <c r="L9" s="70" t="s">
        <v>478</v>
      </c>
      <c r="M9" s="70" t="s">
        <v>478</v>
      </c>
      <c r="N9" s="70" t="s">
        <v>478</v>
      </c>
      <c r="O9" s="70" t="s">
        <v>478</v>
      </c>
      <c r="P9" s="70" t="s">
        <v>478</v>
      </c>
      <c r="Q9" s="70" t="s">
        <v>478</v>
      </c>
      <c r="R9" s="85" t="s">
        <v>478</v>
      </c>
      <c r="S9" s="85" t="s">
        <v>77</v>
      </c>
      <c r="T9" s="85" t="s">
        <v>478</v>
      </c>
      <c r="U9" s="70" t="s">
        <v>478</v>
      </c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302">
        <f t="shared" si="2"/>
        <v>15</v>
      </c>
      <c r="AK9" s="302">
        <f t="shared" si="3"/>
        <v>0</v>
      </c>
      <c r="AL9" s="302">
        <f t="shared" si="4"/>
        <v>2</v>
      </c>
      <c r="AM9" s="302">
        <f t="shared" si="5"/>
        <v>0</v>
      </c>
      <c r="AN9" s="302">
        <f t="shared" si="6"/>
        <v>15</v>
      </c>
      <c r="AO9" s="302">
        <f t="shared" si="7"/>
        <v>0</v>
      </c>
      <c r="AP9" s="302">
        <f t="shared" si="8"/>
        <v>0</v>
      </c>
      <c r="AQ9" s="302">
        <f t="shared" si="9"/>
        <v>15</v>
      </c>
      <c r="AR9" s="303">
        <f t="shared" si="10"/>
        <v>10834.525000000001</v>
      </c>
      <c r="AS9" s="302"/>
    </row>
    <row r="10" spans="1:45" ht="21" customHeight="1">
      <c r="A10" s="291">
        <v>7</v>
      </c>
      <c r="B10" s="292" t="s">
        <v>449</v>
      </c>
      <c r="C10" s="296" t="s">
        <v>182</v>
      </c>
      <c r="D10" s="295">
        <f t="shared" si="11"/>
        <v>722.30166666666673</v>
      </c>
      <c r="E10" s="70" t="s">
        <v>77</v>
      </c>
      <c r="F10" s="70" t="s">
        <v>478</v>
      </c>
      <c r="G10" s="70" t="s">
        <v>478</v>
      </c>
      <c r="H10" s="70" t="s">
        <v>478</v>
      </c>
      <c r="I10" s="70" t="s">
        <v>478</v>
      </c>
      <c r="J10" s="70" t="s">
        <v>478</v>
      </c>
      <c r="K10" s="70" t="s">
        <v>478</v>
      </c>
      <c r="L10" s="70" t="s">
        <v>478</v>
      </c>
      <c r="M10" s="70" t="s">
        <v>478</v>
      </c>
      <c r="N10" s="70" t="s">
        <v>478</v>
      </c>
      <c r="O10" s="70" t="s">
        <v>478</v>
      </c>
      <c r="P10" s="70" t="s">
        <v>478</v>
      </c>
      <c r="Q10" s="70" t="s">
        <v>478</v>
      </c>
      <c r="R10" s="85" t="s">
        <v>77</v>
      </c>
      <c r="S10" s="85" t="s">
        <v>478</v>
      </c>
      <c r="T10" s="85" t="s">
        <v>478</v>
      </c>
      <c r="U10" s="70" t="s">
        <v>478</v>
      </c>
      <c r="V10" s="70" t="s">
        <v>478</v>
      </c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302">
        <f t="shared" si="2"/>
        <v>16</v>
      </c>
      <c r="AK10" s="302">
        <f t="shared" si="3"/>
        <v>0</v>
      </c>
      <c r="AL10" s="302">
        <f t="shared" si="4"/>
        <v>2</v>
      </c>
      <c r="AM10" s="302">
        <f t="shared" si="5"/>
        <v>0</v>
      </c>
      <c r="AN10" s="302">
        <f t="shared" si="6"/>
        <v>16</v>
      </c>
      <c r="AO10" s="302">
        <f t="shared" si="7"/>
        <v>0</v>
      </c>
      <c r="AP10" s="302">
        <f t="shared" si="8"/>
        <v>0</v>
      </c>
      <c r="AQ10" s="302">
        <f t="shared" si="9"/>
        <v>16</v>
      </c>
      <c r="AR10" s="303">
        <f t="shared" si="10"/>
        <v>11556.826666666668</v>
      </c>
      <c r="AS10" s="302"/>
    </row>
    <row r="11" spans="1:45" ht="21" customHeight="1">
      <c r="A11" s="291">
        <v>8</v>
      </c>
      <c r="B11" s="296" t="s">
        <v>468</v>
      </c>
      <c r="C11" s="296" t="s">
        <v>182</v>
      </c>
      <c r="D11" s="295">
        <f t="shared" si="11"/>
        <v>722.30166666666673</v>
      </c>
      <c r="E11" s="70" t="s">
        <v>77</v>
      </c>
      <c r="F11" s="70" t="s">
        <v>478</v>
      </c>
      <c r="G11" s="70" t="s">
        <v>478</v>
      </c>
      <c r="H11" s="70" t="s">
        <v>478</v>
      </c>
      <c r="I11" s="70" t="s">
        <v>478</v>
      </c>
      <c r="J11" s="70" t="s">
        <v>478</v>
      </c>
      <c r="K11" s="70" t="s">
        <v>479</v>
      </c>
      <c r="L11" s="70" t="s">
        <v>479</v>
      </c>
      <c r="M11" s="70" t="s">
        <v>478</v>
      </c>
      <c r="N11" s="70" t="s">
        <v>478</v>
      </c>
      <c r="O11" s="70" t="s">
        <v>478</v>
      </c>
      <c r="P11" s="70" t="s">
        <v>478</v>
      </c>
      <c r="Q11" s="70" t="s">
        <v>478</v>
      </c>
      <c r="R11" s="70" t="s">
        <v>478</v>
      </c>
      <c r="S11" s="85" t="s">
        <v>77</v>
      </c>
      <c r="T11" s="70" t="s">
        <v>478</v>
      </c>
      <c r="U11" s="70" t="s">
        <v>478</v>
      </c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302">
        <f t="shared" si="2"/>
        <v>13</v>
      </c>
      <c r="AK11" s="302">
        <f t="shared" si="3"/>
        <v>2</v>
      </c>
      <c r="AL11" s="302">
        <f t="shared" si="4"/>
        <v>2</v>
      </c>
      <c r="AM11" s="302">
        <f t="shared" si="5"/>
        <v>0</v>
      </c>
      <c r="AN11" s="302">
        <f t="shared" si="6"/>
        <v>13</v>
      </c>
      <c r="AO11" s="302">
        <f t="shared" si="7"/>
        <v>0</v>
      </c>
      <c r="AP11" s="302">
        <f t="shared" si="8"/>
        <v>0</v>
      </c>
      <c r="AQ11" s="302">
        <f t="shared" si="9"/>
        <v>13</v>
      </c>
      <c r="AR11" s="303">
        <f t="shared" si="10"/>
        <v>9389.9216666666671</v>
      </c>
      <c r="AS11" s="302"/>
    </row>
    <row r="12" spans="1:45" ht="21" customHeight="1">
      <c r="A12" s="291">
        <v>9</v>
      </c>
      <c r="B12" s="296" t="s">
        <v>462</v>
      </c>
      <c r="C12" s="296" t="s">
        <v>96</v>
      </c>
      <c r="D12" s="295">
        <f t="shared" si="11"/>
        <v>722.30166666666673</v>
      </c>
      <c r="E12" s="70" t="s">
        <v>77</v>
      </c>
      <c r="F12" s="70" t="s">
        <v>478</v>
      </c>
      <c r="G12" s="70" t="s">
        <v>478</v>
      </c>
      <c r="H12" s="70" t="s">
        <v>478</v>
      </c>
      <c r="I12" s="70" t="s">
        <v>478</v>
      </c>
      <c r="J12" s="70" t="s">
        <v>478</v>
      </c>
      <c r="K12" s="70" t="s">
        <v>77</v>
      </c>
      <c r="L12" s="70" t="s">
        <v>478</v>
      </c>
      <c r="M12" s="70" t="s">
        <v>478</v>
      </c>
      <c r="N12" s="70" t="s">
        <v>478</v>
      </c>
      <c r="O12" s="70" t="s">
        <v>479</v>
      </c>
      <c r="P12" s="70" t="s">
        <v>479</v>
      </c>
      <c r="Q12" s="70" t="s">
        <v>479</v>
      </c>
      <c r="R12" s="70" t="s">
        <v>479</v>
      </c>
      <c r="S12" s="70" t="s">
        <v>479</v>
      </c>
      <c r="T12" s="70" t="s">
        <v>478</v>
      </c>
      <c r="U12" s="70" t="s">
        <v>478</v>
      </c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302">
        <f t="shared" ref="AJ12" si="12">COUNTIF(E12:AI12,"P*")</f>
        <v>10</v>
      </c>
      <c r="AK12" s="302">
        <f t="shared" ref="AK12" si="13">COUNTIF(E12:AI12,"A")</f>
        <v>5</v>
      </c>
      <c r="AL12" s="302">
        <f t="shared" ref="AL12" si="14">COUNTIF(E12:AI12,"WO")</f>
        <v>2</v>
      </c>
      <c r="AM12" s="302">
        <f t="shared" ref="AM12" si="15">COUNTIF(E12:AI12,"HD")</f>
        <v>0</v>
      </c>
      <c r="AN12" s="302">
        <f t="shared" ref="AN12" si="16">AJ12+AM12</f>
        <v>10</v>
      </c>
      <c r="AO12" s="302">
        <f t="shared" ref="AO12" si="17">(COUNTIF(E12:AI12,"P1")*1)+(COUNTIF(E12:AI12,"P2")*2)+(COUNTIF(E12:AI12,"P3")*3)+(COUNTIF(E12:AI12,"P4")*4)+(COUNTIF(E12:AI12,"P5")*5)+(COUNTIF(E12:AI12,"P6")*6)+(COUNTIF(E12:AI12,"P7")*7)+(COUNTIF(E12:AI12,"P8")*8)</f>
        <v>0</v>
      </c>
      <c r="AP12" s="302">
        <f t="shared" ref="AP12" si="18">AO12/8</f>
        <v>0</v>
      </c>
      <c r="AQ12" s="302">
        <f t="shared" ref="AQ12" si="19">AN12+AP12</f>
        <v>10</v>
      </c>
      <c r="AR12" s="303">
        <f t="shared" ref="AR12" si="20">AQ12*D12</f>
        <v>7223.0166666666673</v>
      </c>
      <c r="AS12" s="302"/>
    </row>
    <row r="13" spans="1:45" ht="21" customHeight="1">
      <c r="A13" s="291">
        <v>10</v>
      </c>
      <c r="B13" s="296" t="s">
        <v>466</v>
      </c>
      <c r="C13" s="296" t="s">
        <v>96</v>
      </c>
      <c r="D13" s="295">
        <f t="shared" si="11"/>
        <v>722.30166666666673</v>
      </c>
      <c r="E13" s="70" t="s">
        <v>77</v>
      </c>
      <c r="F13" s="70" t="s">
        <v>478</v>
      </c>
      <c r="G13" s="70" t="s">
        <v>478</v>
      </c>
      <c r="H13" s="70" t="s">
        <v>478</v>
      </c>
      <c r="I13" s="70" t="s">
        <v>478</v>
      </c>
      <c r="J13" s="70" t="s">
        <v>478</v>
      </c>
      <c r="K13" s="70" t="s">
        <v>77</v>
      </c>
      <c r="L13" s="70" t="s">
        <v>478</v>
      </c>
      <c r="M13" s="70" t="s">
        <v>478</v>
      </c>
      <c r="N13" s="70" t="s">
        <v>478</v>
      </c>
      <c r="O13" s="70" t="s">
        <v>478</v>
      </c>
      <c r="P13" s="70" t="s">
        <v>478</v>
      </c>
      <c r="Q13" s="70" t="s">
        <v>478</v>
      </c>
      <c r="R13" s="70" t="s">
        <v>77</v>
      </c>
      <c r="S13" s="70" t="s">
        <v>478</v>
      </c>
      <c r="T13" s="70" t="s">
        <v>478</v>
      </c>
      <c r="U13" s="70" t="s">
        <v>478</v>
      </c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302">
        <f t="shared" ref="AJ13" si="21">COUNTIF(E13:AI13,"P*")</f>
        <v>14</v>
      </c>
      <c r="AK13" s="302">
        <f t="shared" ref="AK13" si="22">COUNTIF(E13:AI13,"A")</f>
        <v>0</v>
      </c>
      <c r="AL13" s="302">
        <f t="shared" ref="AL13" si="23">COUNTIF(E13:AI13,"WO")</f>
        <v>3</v>
      </c>
      <c r="AM13" s="302">
        <f t="shared" ref="AM13" si="24">COUNTIF(E13:AI13,"HD")</f>
        <v>0</v>
      </c>
      <c r="AN13" s="302">
        <f t="shared" ref="AN13" si="25">AJ13+AM13</f>
        <v>14</v>
      </c>
      <c r="AO13" s="302">
        <f t="shared" ref="AO13" si="26">(COUNTIF(E13:AI13,"P1")*1)+(COUNTIF(E13:AI13,"P2")*2)+(COUNTIF(E13:AI13,"P3")*3)+(COUNTIF(E13:AI13,"P4")*4)+(COUNTIF(E13:AI13,"P5")*5)+(COUNTIF(E13:AI13,"P6")*6)+(COUNTIF(E13:AI13,"P7")*7)+(COUNTIF(E13:AI13,"P8")*8)</f>
        <v>0</v>
      </c>
      <c r="AP13" s="302">
        <f t="shared" ref="AP13" si="27">AO13/8</f>
        <v>0</v>
      </c>
      <c r="AQ13" s="302">
        <f t="shared" ref="AQ13" si="28">AN13+AP13</f>
        <v>14</v>
      </c>
      <c r="AR13" s="303">
        <f t="shared" ref="AR13" si="29">AQ13*D13</f>
        <v>10112.223333333335</v>
      </c>
      <c r="AS13" s="302"/>
    </row>
    <row r="14" spans="1:45" ht="21" customHeight="1">
      <c r="A14" s="291">
        <v>11</v>
      </c>
      <c r="B14" s="296" t="s">
        <v>489</v>
      </c>
      <c r="C14" s="296" t="s">
        <v>96</v>
      </c>
      <c r="D14" s="295">
        <f t="shared" si="11"/>
        <v>722.30166666666673</v>
      </c>
      <c r="E14" s="70" t="s">
        <v>77</v>
      </c>
      <c r="F14" s="70" t="s">
        <v>479</v>
      </c>
      <c r="G14" s="70" t="s">
        <v>479</v>
      </c>
      <c r="H14" s="70" t="s">
        <v>479</v>
      </c>
      <c r="I14" s="70" t="s">
        <v>478</v>
      </c>
      <c r="J14" s="70" t="s">
        <v>478</v>
      </c>
      <c r="K14" s="70" t="s">
        <v>479</v>
      </c>
      <c r="L14" s="70" t="s">
        <v>479</v>
      </c>
      <c r="M14" s="70" t="s">
        <v>479</v>
      </c>
      <c r="N14" s="70" t="s">
        <v>479</v>
      </c>
      <c r="O14" s="70" t="s">
        <v>479</v>
      </c>
      <c r="P14" s="70" t="s">
        <v>479</v>
      </c>
      <c r="Q14" s="70" t="s">
        <v>479</v>
      </c>
      <c r="R14" s="70" t="s">
        <v>478</v>
      </c>
      <c r="S14" s="70" t="s">
        <v>478</v>
      </c>
      <c r="T14" s="70" t="s">
        <v>479</v>
      </c>
      <c r="U14" s="70" t="s">
        <v>478</v>
      </c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302">
        <f t="shared" ref="AJ14" si="30">COUNTIF(E14:AI14,"P*")</f>
        <v>5</v>
      </c>
      <c r="AK14" s="302">
        <f t="shared" ref="AK14" si="31">COUNTIF(E14:AI14,"A")</f>
        <v>11</v>
      </c>
      <c r="AL14" s="302">
        <f t="shared" ref="AL14" si="32">COUNTIF(E14:AI14,"WO")</f>
        <v>1</v>
      </c>
      <c r="AM14" s="302">
        <f t="shared" ref="AM14" si="33">COUNTIF(E14:AI14,"HD")</f>
        <v>0</v>
      </c>
      <c r="AN14" s="302">
        <f t="shared" ref="AN14" si="34">AJ14+AM14</f>
        <v>5</v>
      </c>
      <c r="AO14" s="302">
        <f t="shared" ref="AO14" si="35">(COUNTIF(E14:AI14,"P1")*1)+(COUNTIF(E14:AI14,"P2")*2)+(COUNTIF(E14:AI14,"P3")*3)+(COUNTIF(E14:AI14,"P4")*4)+(COUNTIF(E14:AI14,"P5")*5)+(COUNTIF(E14:AI14,"P6")*6)+(COUNTIF(E14:AI14,"P7")*7)+(COUNTIF(E14:AI14,"P8")*8)</f>
        <v>0</v>
      </c>
      <c r="AP14" s="302">
        <f t="shared" ref="AP14" si="36">AO14/8</f>
        <v>0</v>
      </c>
      <c r="AQ14" s="302">
        <f t="shared" ref="AQ14" si="37">AN14+AP14</f>
        <v>5</v>
      </c>
      <c r="AR14" s="303">
        <f t="shared" ref="AR14" si="38">AQ14*D14</f>
        <v>3611.5083333333337</v>
      </c>
      <c r="AS14" s="302"/>
    </row>
    <row r="15" spans="1:45" ht="21" customHeight="1">
      <c r="A15" s="291">
        <v>12</v>
      </c>
      <c r="B15" s="296" t="s">
        <v>490</v>
      </c>
      <c r="C15" s="296" t="s">
        <v>96</v>
      </c>
      <c r="D15" s="295">
        <f t="shared" si="11"/>
        <v>722.30166666666673</v>
      </c>
      <c r="E15" s="70" t="s">
        <v>479</v>
      </c>
      <c r="F15" s="70" t="s">
        <v>479</v>
      </c>
      <c r="G15" s="70" t="s">
        <v>479</v>
      </c>
      <c r="H15" s="70" t="s">
        <v>479</v>
      </c>
      <c r="I15" s="70" t="s">
        <v>479</v>
      </c>
      <c r="J15" s="70" t="s">
        <v>479</v>
      </c>
      <c r="K15" s="70" t="s">
        <v>478</v>
      </c>
      <c r="L15" s="70" t="s">
        <v>479</v>
      </c>
      <c r="M15" s="70" t="s">
        <v>478</v>
      </c>
      <c r="N15" s="70" t="s">
        <v>479</v>
      </c>
      <c r="O15" s="70" t="s">
        <v>479</v>
      </c>
      <c r="P15" s="70" t="s">
        <v>479</v>
      </c>
      <c r="Q15" s="70" t="s">
        <v>479</v>
      </c>
      <c r="R15" s="70" t="s">
        <v>479</v>
      </c>
      <c r="S15" s="70" t="s">
        <v>479</v>
      </c>
      <c r="T15" s="70" t="s">
        <v>479</v>
      </c>
      <c r="U15" s="70" t="s">
        <v>479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302">
        <f t="shared" ref="AJ15" si="39">COUNTIF(E15:AI15,"P*")</f>
        <v>2</v>
      </c>
      <c r="AK15" s="302">
        <f t="shared" ref="AK15" si="40">COUNTIF(E15:AI15,"A")</f>
        <v>15</v>
      </c>
      <c r="AL15" s="302">
        <f t="shared" ref="AL15" si="41">COUNTIF(E15:AI15,"WO")</f>
        <v>0</v>
      </c>
      <c r="AM15" s="302">
        <f t="shared" ref="AM15" si="42">COUNTIF(E15:AI15,"HD")</f>
        <v>0</v>
      </c>
      <c r="AN15" s="302">
        <f t="shared" ref="AN15" si="43">AJ15+AM15</f>
        <v>2</v>
      </c>
      <c r="AO15" s="302">
        <f t="shared" ref="AO15" si="44">(COUNTIF(E15:AI15,"P1")*1)+(COUNTIF(E15:AI15,"P2")*2)+(COUNTIF(E15:AI15,"P3")*3)+(COUNTIF(E15:AI15,"P4")*4)+(COUNTIF(E15:AI15,"P5")*5)+(COUNTIF(E15:AI15,"P6")*6)+(COUNTIF(E15:AI15,"P7")*7)+(COUNTIF(E15:AI15,"P8")*8)</f>
        <v>0</v>
      </c>
      <c r="AP15" s="302">
        <f t="shared" ref="AP15" si="45">AO15/8</f>
        <v>0</v>
      </c>
      <c r="AQ15" s="302">
        <f t="shared" ref="AQ15" si="46">AN15+AP15</f>
        <v>2</v>
      </c>
      <c r="AR15" s="303">
        <f t="shared" ref="AR15" si="47">AQ15*D15</f>
        <v>1444.6033333333335</v>
      </c>
      <c r="AS15" s="302"/>
    </row>
    <row r="16" spans="1:45" ht="21" customHeight="1">
      <c r="A16" s="291">
        <v>13</v>
      </c>
      <c r="B16" s="296" t="s">
        <v>493</v>
      </c>
      <c r="C16" s="296" t="s">
        <v>96</v>
      </c>
      <c r="D16" s="295">
        <f t="shared" si="11"/>
        <v>722.30166666666673</v>
      </c>
      <c r="E16" s="70" t="s">
        <v>479</v>
      </c>
      <c r="F16" s="70" t="s">
        <v>479</v>
      </c>
      <c r="G16" s="70" t="s">
        <v>479</v>
      </c>
      <c r="H16" s="70" t="s">
        <v>479</v>
      </c>
      <c r="I16" s="70" t="s">
        <v>479</v>
      </c>
      <c r="J16" s="70" t="s">
        <v>479</v>
      </c>
      <c r="K16" s="70" t="s">
        <v>479</v>
      </c>
      <c r="L16" s="70" t="s">
        <v>479</v>
      </c>
      <c r="M16" s="70" t="s">
        <v>479</v>
      </c>
      <c r="N16" s="70" t="s">
        <v>479</v>
      </c>
      <c r="O16" s="70" t="s">
        <v>478</v>
      </c>
      <c r="P16" s="70" t="s">
        <v>478</v>
      </c>
      <c r="Q16" s="70" t="s">
        <v>478</v>
      </c>
      <c r="R16" s="70" t="s">
        <v>479</v>
      </c>
      <c r="S16" s="70" t="s">
        <v>479</v>
      </c>
      <c r="T16" s="70" t="s">
        <v>479</v>
      </c>
      <c r="U16" s="70" t="s">
        <v>479</v>
      </c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302">
        <f t="shared" ref="AJ16" si="48">COUNTIF(E16:AI16,"P*")</f>
        <v>3</v>
      </c>
      <c r="AK16" s="302">
        <f t="shared" ref="AK16" si="49">COUNTIF(E16:AI16,"A")</f>
        <v>14</v>
      </c>
      <c r="AL16" s="302">
        <f t="shared" ref="AL16" si="50">COUNTIF(E16:AI16,"WO")</f>
        <v>0</v>
      </c>
      <c r="AM16" s="302">
        <f t="shared" ref="AM16" si="51">COUNTIF(E16:AI16,"HD")</f>
        <v>0</v>
      </c>
      <c r="AN16" s="302">
        <f t="shared" ref="AN16" si="52">AJ16+AM16</f>
        <v>3</v>
      </c>
      <c r="AO16" s="302">
        <f t="shared" ref="AO16" si="53">(COUNTIF(E16:AI16,"P1")*1)+(COUNTIF(E16:AI16,"P2")*2)+(COUNTIF(E16:AI16,"P3")*3)+(COUNTIF(E16:AI16,"P4")*4)+(COUNTIF(E16:AI16,"P5")*5)+(COUNTIF(E16:AI16,"P6")*6)+(COUNTIF(E16:AI16,"P7")*7)+(COUNTIF(E16:AI16,"P8")*8)</f>
        <v>0</v>
      </c>
      <c r="AP16" s="302">
        <f t="shared" ref="AP16" si="54">AO16/8</f>
        <v>0</v>
      </c>
      <c r="AQ16" s="302">
        <f t="shared" ref="AQ16" si="55">AN16+AP16</f>
        <v>3</v>
      </c>
      <c r="AR16" s="303">
        <f t="shared" ref="AR16" si="56">AQ16*D16</f>
        <v>2166.9050000000002</v>
      </c>
      <c r="AS16" s="302"/>
    </row>
    <row r="17" spans="1:45" ht="21" customHeight="1">
      <c r="A17" s="291">
        <v>14</v>
      </c>
      <c r="B17" s="296" t="s">
        <v>494</v>
      </c>
      <c r="C17" s="296" t="s">
        <v>96</v>
      </c>
      <c r="D17" s="295">
        <f t="shared" si="11"/>
        <v>722.30166666666673</v>
      </c>
      <c r="E17" s="70" t="s">
        <v>479</v>
      </c>
      <c r="F17" s="70" t="s">
        <v>479</v>
      </c>
      <c r="G17" s="70" t="s">
        <v>479</v>
      </c>
      <c r="H17" s="70" t="s">
        <v>479</v>
      </c>
      <c r="I17" s="70" t="s">
        <v>479</v>
      </c>
      <c r="J17" s="70" t="s">
        <v>479</v>
      </c>
      <c r="K17" s="70" t="s">
        <v>479</v>
      </c>
      <c r="L17" s="70" t="s">
        <v>479</v>
      </c>
      <c r="M17" s="70" t="s">
        <v>479</v>
      </c>
      <c r="N17" s="70" t="s">
        <v>479</v>
      </c>
      <c r="O17" s="70" t="s">
        <v>479</v>
      </c>
      <c r="P17" s="70" t="s">
        <v>478</v>
      </c>
      <c r="Q17" s="70" t="s">
        <v>479</v>
      </c>
      <c r="R17" s="70" t="s">
        <v>479</v>
      </c>
      <c r="S17" s="70" t="s">
        <v>479</v>
      </c>
      <c r="T17" s="70" t="s">
        <v>479</v>
      </c>
      <c r="U17" s="70" t="s">
        <v>479</v>
      </c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302">
        <f t="shared" ref="AJ17" si="57">COUNTIF(E17:AI17,"P*")</f>
        <v>1</v>
      </c>
      <c r="AK17" s="302">
        <f t="shared" ref="AK17" si="58">COUNTIF(E17:AI17,"A")</f>
        <v>16</v>
      </c>
      <c r="AL17" s="302">
        <f t="shared" ref="AL17" si="59">COUNTIF(E17:AI17,"WO")</f>
        <v>0</v>
      </c>
      <c r="AM17" s="302">
        <f t="shared" ref="AM17" si="60">COUNTIF(E17:AI17,"HD")</f>
        <v>0</v>
      </c>
      <c r="AN17" s="302">
        <f t="shared" ref="AN17" si="61">AJ17+AM17</f>
        <v>1</v>
      </c>
      <c r="AO17" s="302">
        <f t="shared" ref="AO17" si="62">(COUNTIF(E17:AI17,"P1")*1)+(COUNTIF(E17:AI17,"P2")*2)+(COUNTIF(E17:AI17,"P3")*3)+(COUNTIF(E17:AI17,"P4")*4)+(COUNTIF(E17:AI17,"P5")*5)+(COUNTIF(E17:AI17,"P6")*6)+(COUNTIF(E17:AI17,"P7")*7)+(COUNTIF(E17:AI17,"P8")*8)</f>
        <v>0</v>
      </c>
      <c r="AP17" s="302">
        <f t="shared" ref="AP17" si="63">AO17/8</f>
        <v>0</v>
      </c>
      <c r="AQ17" s="302">
        <f t="shared" ref="AQ17" si="64">AN17+AP17</f>
        <v>1</v>
      </c>
      <c r="AR17" s="303">
        <f t="shared" ref="AR17" si="65">AQ17*D17</f>
        <v>722.30166666666673</v>
      </c>
      <c r="AS17" s="302"/>
    </row>
    <row r="18" spans="1:45" ht="21" customHeight="1">
      <c r="A18" s="291">
        <v>15</v>
      </c>
      <c r="B18" s="296" t="s">
        <v>495</v>
      </c>
      <c r="C18" s="296" t="s">
        <v>96</v>
      </c>
      <c r="D18" s="295">
        <f t="shared" si="11"/>
        <v>722.30166666666673</v>
      </c>
      <c r="E18" s="70" t="s">
        <v>479</v>
      </c>
      <c r="F18" s="70" t="s">
        <v>479</v>
      </c>
      <c r="G18" s="70" t="s">
        <v>479</v>
      </c>
      <c r="H18" s="70" t="s">
        <v>479</v>
      </c>
      <c r="I18" s="70" t="s">
        <v>479</v>
      </c>
      <c r="J18" s="70" t="s">
        <v>479</v>
      </c>
      <c r="K18" s="70" t="s">
        <v>479</v>
      </c>
      <c r="L18" s="70" t="s">
        <v>479</v>
      </c>
      <c r="M18" s="70" t="s">
        <v>479</v>
      </c>
      <c r="N18" s="70" t="s">
        <v>479</v>
      </c>
      <c r="O18" s="70" t="s">
        <v>479</v>
      </c>
      <c r="P18" s="70" t="s">
        <v>479</v>
      </c>
      <c r="Q18" s="70" t="s">
        <v>478</v>
      </c>
      <c r="R18" s="70" t="s">
        <v>479</v>
      </c>
      <c r="S18" s="70" t="s">
        <v>479</v>
      </c>
      <c r="T18" s="70" t="s">
        <v>479</v>
      </c>
      <c r="U18" s="70" t="s">
        <v>479</v>
      </c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302">
        <f t="shared" ref="AJ18" si="66">COUNTIF(E18:AI18,"P*")</f>
        <v>1</v>
      </c>
      <c r="AK18" s="302">
        <f t="shared" ref="AK18" si="67">COUNTIF(E18:AI18,"A")</f>
        <v>16</v>
      </c>
      <c r="AL18" s="302">
        <f t="shared" ref="AL18" si="68">COUNTIF(E18:AI18,"WO")</f>
        <v>0</v>
      </c>
      <c r="AM18" s="302">
        <f t="shared" ref="AM18" si="69">COUNTIF(E18:AI18,"HD")</f>
        <v>0</v>
      </c>
      <c r="AN18" s="302">
        <f t="shared" ref="AN18" si="70">AJ18+AM18</f>
        <v>1</v>
      </c>
      <c r="AO18" s="302">
        <f t="shared" ref="AO18" si="71">(COUNTIF(E18:AI18,"P1")*1)+(COUNTIF(E18:AI18,"P2")*2)+(COUNTIF(E18:AI18,"P3")*3)+(COUNTIF(E18:AI18,"P4")*4)+(COUNTIF(E18:AI18,"P5")*5)+(COUNTIF(E18:AI18,"P6")*6)+(COUNTIF(E18:AI18,"P7")*7)+(COUNTIF(E18:AI18,"P8")*8)</f>
        <v>0</v>
      </c>
      <c r="AP18" s="302">
        <f t="shared" ref="AP18" si="72">AO18/8</f>
        <v>0</v>
      </c>
      <c r="AQ18" s="302">
        <f t="shared" ref="AQ18" si="73">AN18+AP18</f>
        <v>1</v>
      </c>
      <c r="AR18" s="303">
        <f t="shared" ref="AR18" si="74">AQ18*D18</f>
        <v>722.30166666666673</v>
      </c>
      <c r="AS18" s="302"/>
    </row>
    <row r="19" spans="1:45" ht="21" customHeight="1">
      <c r="A19" s="291">
        <v>16</v>
      </c>
      <c r="B19" s="296" t="s">
        <v>496</v>
      </c>
      <c r="C19" s="296" t="s">
        <v>96</v>
      </c>
      <c r="D19" s="295">
        <f t="shared" si="11"/>
        <v>722.30166666666673</v>
      </c>
      <c r="E19" s="70" t="s">
        <v>479</v>
      </c>
      <c r="F19" s="70" t="s">
        <v>479</v>
      </c>
      <c r="G19" s="70" t="s">
        <v>479</v>
      </c>
      <c r="H19" s="70" t="s">
        <v>479</v>
      </c>
      <c r="I19" s="70" t="s">
        <v>479</v>
      </c>
      <c r="J19" s="70" t="s">
        <v>479</v>
      </c>
      <c r="K19" s="70" t="s">
        <v>479</v>
      </c>
      <c r="L19" s="70" t="s">
        <v>479</v>
      </c>
      <c r="M19" s="70" t="s">
        <v>479</v>
      </c>
      <c r="N19" s="70" t="s">
        <v>479</v>
      </c>
      <c r="O19" s="70" t="s">
        <v>479</v>
      </c>
      <c r="P19" s="70" t="s">
        <v>479</v>
      </c>
      <c r="Q19" s="70" t="s">
        <v>479</v>
      </c>
      <c r="R19" s="70" t="s">
        <v>479</v>
      </c>
      <c r="S19" s="70" t="s">
        <v>478</v>
      </c>
      <c r="T19" s="70" t="s">
        <v>479</v>
      </c>
      <c r="U19" s="70" t="s">
        <v>479</v>
      </c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302">
        <f t="shared" ref="AJ19" si="75">COUNTIF(E19:AI19,"P*")</f>
        <v>1</v>
      </c>
      <c r="AK19" s="302">
        <f t="shared" ref="AK19" si="76">COUNTIF(E19:AI19,"A")</f>
        <v>16</v>
      </c>
      <c r="AL19" s="302">
        <f t="shared" ref="AL19" si="77">COUNTIF(E19:AI19,"WO")</f>
        <v>0</v>
      </c>
      <c r="AM19" s="302">
        <f t="shared" ref="AM19" si="78">COUNTIF(E19:AI19,"HD")</f>
        <v>0</v>
      </c>
      <c r="AN19" s="302">
        <f t="shared" ref="AN19" si="79">AJ19+AM19</f>
        <v>1</v>
      </c>
      <c r="AO19" s="302">
        <f t="shared" ref="AO19" si="80">(COUNTIF(E19:AI19,"P1")*1)+(COUNTIF(E19:AI19,"P2")*2)+(COUNTIF(E19:AI19,"P3")*3)+(COUNTIF(E19:AI19,"P4")*4)+(COUNTIF(E19:AI19,"P5")*5)+(COUNTIF(E19:AI19,"P6")*6)+(COUNTIF(E19:AI19,"P7")*7)+(COUNTIF(E19:AI19,"P8")*8)</f>
        <v>0</v>
      </c>
      <c r="AP19" s="302">
        <f t="shared" ref="AP19" si="81">AO19/8</f>
        <v>0</v>
      </c>
      <c r="AQ19" s="302">
        <f t="shared" ref="AQ19" si="82">AN19+AP19</f>
        <v>1</v>
      </c>
      <c r="AR19" s="303">
        <f t="shared" ref="AR19" si="83">AQ19*D19</f>
        <v>722.30166666666673</v>
      </c>
      <c r="AS19" s="302"/>
    </row>
    <row r="20" spans="1:45" ht="21" customHeight="1">
      <c r="A20" s="291">
        <v>17</v>
      </c>
      <c r="B20" s="296"/>
      <c r="C20" s="296"/>
      <c r="D20" s="295">
        <f t="shared" si="11"/>
        <v>722.30166666666673</v>
      </c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302">
        <f t="shared" ref="AJ20" si="84">COUNTIF(E20:AI20,"P*")</f>
        <v>0</v>
      </c>
      <c r="AK20" s="302">
        <f t="shared" ref="AK20" si="85">COUNTIF(E20:AI20,"A")</f>
        <v>0</v>
      </c>
      <c r="AL20" s="302">
        <f t="shared" ref="AL20" si="86">COUNTIF(E20:AI20,"WO")</f>
        <v>0</v>
      </c>
      <c r="AM20" s="302">
        <f t="shared" ref="AM20" si="87">COUNTIF(E20:AI20,"HD")</f>
        <v>0</v>
      </c>
      <c r="AN20" s="302">
        <f t="shared" ref="AN20" si="88">AJ20+AM20</f>
        <v>0</v>
      </c>
      <c r="AO20" s="302">
        <f t="shared" ref="AO20" si="89">(COUNTIF(E20:AI20,"P1")*1)+(COUNTIF(E20:AI20,"P2")*2)+(COUNTIF(E20:AI20,"P3")*3)+(COUNTIF(E20:AI20,"P4")*4)+(COUNTIF(E20:AI20,"P5")*5)+(COUNTIF(E20:AI20,"P6")*6)+(COUNTIF(E20:AI20,"P7")*7)+(COUNTIF(E20:AI20,"P8")*8)</f>
        <v>0</v>
      </c>
      <c r="AP20" s="302">
        <f t="shared" ref="AP20" si="90">AO20/8</f>
        <v>0</v>
      </c>
      <c r="AQ20" s="302">
        <f t="shared" ref="AQ20" si="91">AN20+AP20</f>
        <v>0</v>
      </c>
      <c r="AR20" s="303">
        <f t="shared" ref="AR20" si="92">AQ20*D20</f>
        <v>0</v>
      </c>
      <c r="AS20" s="302"/>
    </row>
    <row r="21" spans="1:45" ht="21" customHeight="1">
      <c r="A21" s="291">
        <v>18</v>
      </c>
      <c r="B21" s="320"/>
      <c r="C21" s="320"/>
      <c r="D21" s="295">
        <f t="shared" si="11"/>
        <v>722.30166666666673</v>
      </c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302">
        <f t="shared" ref="AJ21" si="93">COUNTIF(E21:AI21,"P*")</f>
        <v>0</v>
      </c>
      <c r="AK21" s="302">
        <f t="shared" ref="AK21" si="94">COUNTIF(E21:AI21,"A")</f>
        <v>0</v>
      </c>
      <c r="AL21" s="302">
        <f t="shared" ref="AL21" si="95">COUNTIF(E21:AI21,"WO")</f>
        <v>0</v>
      </c>
      <c r="AM21" s="302">
        <f t="shared" ref="AM21" si="96">COUNTIF(E21:AI21,"HD")</f>
        <v>0</v>
      </c>
      <c r="AN21" s="302">
        <f t="shared" ref="AN21" si="97">AJ21+AM21</f>
        <v>0</v>
      </c>
      <c r="AO21" s="302">
        <f t="shared" ref="AO21" si="98">(COUNTIF(E21:AI21,"P1")*1)+(COUNTIF(E21:AI21,"P2")*2)+(COUNTIF(E21:AI21,"P3")*3)+(COUNTIF(E21:AI21,"P4")*4)+(COUNTIF(E21:AI21,"P5")*5)+(COUNTIF(E21:AI21,"P6")*6)+(COUNTIF(E21:AI21,"P7")*7)+(COUNTIF(E21:AI21,"P8")*8)</f>
        <v>0</v>
      </c>
      <c r="AP21" s="302">
        <f t="shared" ref="AP21" si="99">AO21/8</f>
        <v>0</v>
      </c>
      <c r="AQ21" s="302">
        <f t="shared" ref="AQ21" si="100">AN21+AP21</f>
        <v>0</v>
      </c>
      <c r="AR21" s="303">
        <f t="shared" ref="AR21" si="101">AQ21*D21</f>
        <v>0</v>
      </c>
      <c r="AS21" s="302"/>
    </row>
    <row r="22" spans="1:45" ht="21" customHeight="1">
      <c r="A22" s="291">
        <v>19</v>
      </c>
      <c r="B22" s="296"/>
      <c r="C22" s="296"/>
      <c r="D22" s="295">
        <f t="shared" si="11"/>
        <v>722.30166666666673</v>
      </c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302">
        <f t="shared" ref="AJ22" si="102">COUNTIF(E22:AI22,"P*")</f>
        <v>0</v>
      </c>
      <c r="AK22" s="302">
        <f t="shared" ref="AK22" si="103">COUNTIF(E22:AI22,"A")</f>
        <v>0</v>
      </c>
      <c r="AL22" s="302">
        <f t="shared" ref="AL22" si="104">COUNTIF(E22:AI22,"WO")</f>
        <v>0</v>
      </c>
      <c r="AM22" s="302">
        <f t="shared" ref="AM22" si="105">COUNTIF(E22:AI22,"HD")</f>
        <v>0</v>
      </c>
      <c r="AN22" s="302">
        <f t="shared" ref="AN22" si="106">AJ22+AM22</f>
        <v>0</v>
      </c>
      <c r="AO22" s="302">
        <f t="shared" ref="AO22" si="107">(COUNTIF(E22:AI22,"P1")*1)+(COUNTIF(E22:AI22,"P2")*2)+(COUNTIF(E22:AI22,"P3")*3)+(COUNTIF(E22:AI22,"P4")*4)+(COUNTIF(E22:AI22,"P5")*5)+(COUNTIF(E22:AI22,"P6")*6)+(COUNTIF(E22:AI22,"P7")*7)+(COUNTIF(E22:AI22,"P8")*8)</f>
        <v>0</v>
      </c>
      <c r="AP22" s="302">
        <f t="shared" ref="AP22" si="108">AO22/8</f>
        <v>0</v>
      </c>
      <c r="AQ22" s="302">
        <f t="shared" ref="AQ22" si="109">AN22+AP22</f>
        <v>0</v>
      </c>
      <c r="AR22" s="303">
        <f t="shared" ref="AR22" si="110">AQ22*D22</f>
        <v>0</v>
      </c>
      <c r="AS22" s="302"/>
    </row>
    <row r="23" spans="1:45" ht="18">
      <c r="A23" s="71"/>
      <c r="B23" s="72"/>
      <c r="C23" s="71"/>
      <c r="D23" s="73"/>
      <c r="E23" s="70">
        <f>COUNTIF(E4:E22,"p8")*2+COUNTIF(E4:E22,"P")+COUNTIF(E4:E22,"P4")*1.5</f>
        <v>1</v>
      </c>
      <c r="F23" s="70">
        <f t="shared" ref="F23:AI23" si="111">COUNTIF(F4:F22,"p8")*2+COUNTIF(F4:F22,"P")+COUNTIF(F4:F22,"P4")*1.5</f>
        <v>10</v>
      </c>
      <c r="G23" s="70">
        <f t="shared" si="111"/>
        <v>10</v>
      </c>
      <c r="H23" s="70">
        <f t="shared" si="111"/>
        <v>8</v>
      </c>
      <c r="I23" s="70">
        <f t="shared" si="111"/>
        <v>9</v>
      </c>
      <c r="J23" s="70">
        <f t="shared" si="111"/>
        <v>9</v>
      </c>
      <c r="K23" s="70">
        <f t="shared" si="111"/>
        <v>6</v>
      </c>
      <c r="L23" s="70">
        <f t="shared" si="111"/>
        <v>8</v>
      </c>
      <c r="M23" s="70">
        <f t="shared" si="111"/>
        <v>7</v>
      </c>
      <c r="N23" s="70">
        <f t="shared" si="111"/>
        <v>6</v>
      </c>
      <c r="O23" s="70">
        <f t="shared" si="111"/>
        <v>7</v>
      </c>
      <c r="P23" s="70">
        <f t="shared" si="111"/>
        <v>8</v>
      </c>
      <c r="Q23" s="70">
        <f t="shared" si="111"/>
        <v>7</v>
      </c>
      <c r="R23" s="70">
        <f t="shared" si="111"/>
        <v>6</v>
      </c>
      <c r="S23" s="70">
        <f t="shared" si="111"/>
        <v>5</v>
      </c>
      <c r="T23" s="70">
        <f t="shared" si="111"/>
        <v>7.5</v>
      </c>
      <c r="U23" s="70">
        <f t="shared" si="111"/>
        <v>9.5</v>
      </c>
      <c r="V23" s="70">
        <f t="shared" si="111"/>
        <v>3</v>
      </c>
      <c r="W23" s="70">
        <f t="shared" si="111"/>
        <v>0</v>
      </c>
      <c r="X23" s="70">
        <f t="shared" si="111"/>
        <v>0</v>
      </c>
      <c r="Y23" s="70">
        <f t="shared" si="111"/>
        <v>0</v>
      </c>
      <c r="Z23" s="70">
        <f t="shared" si="111"/>
        <v>0</v>
      </c>
      <c r="AA23" s="70">
        <f t="shared" si="111"/>
        <v>0</v>
      </c>
      <c r="AB23" s="70">
        <f t="shared" si="111"/>
        <v>0</v>
      </c>
      <c r="AC23" s="70">
        <f t="shared" si="111"/>
        <v>0</v>
      </c>
      <c r="AD23" s="70">
        <f t="shared" si="111"/>
        <v>0</v>
      </c>
      <c r="AE23" s="70">
        <f t="shared" si="111"/>
        <v>0</v>
      </c>
      <c r="AF23" s="70">
        <f t="shared" si="111"/>
        <v>0</v>
      </c>
      <c r="AG23" s="70">
        <f t="shared" si="111"/>
        <v>0</v>
      </c>
      <c r="AH23" s="70">
        <f t="shared" si="111"/>
        <v>0</v>
      </c>
      <c r="AI23" s="70">
        <f t="shared" si="111"/>
        <v>0</v>
      </c>
      <c r="AJ23" s="78">
        <f>SUM(AJ4:AJ22)</f>
        <v>142</v>
      </c>
      <c r="AK23" s="78">
        <f t="shared" ref="AK23:AR23" si="112">SUM(AK4:AK22)</f>
        <v>114</v>
      </c>
      <c r="AL23" s="78">
        <f t="shared" si="112"/>
        <v>19</v>
      </c>
      <c r="AM23" s="78">
        <f t="shared" si="112"/>
        <v>0</v>
      </c>
      <c r="AN23" s="78">
        <f t="shared" si="112"/>
        <v>142</v>
      </c>
      <c r="AO23" s="78">
        <f t="shared" si="112"/>
        <v>82</v>
      </c>
      <c r="AP23" s="78">
        <f t="shared" si="112"/>
        <v>10.25</v>
      </c>
      <c r="AQ23" s="78">
        <f t="shared" si="112"/>
        <v>152.25</v>
      </c>
      <c r="AR23" s="78">
        <f t="shared" si="112"/>
        <v>113108.17343749999</v>
      </c>
      <c r="AS23" s="78"/>
    </row>
    <row r="24" spans="1:45" ht="17.25" thickBot="1">
      <c r="AR24" s="74"/>
    </row>
    <row r="25" spans="1:45" ht="35.25" thickBot="1">
      <c r="B25" s="75" t="s">
        <v>73</v>
      </c>
      <c r="C25" s="76" t="s">
        <v>85</v>
      </c>
      <c r="D25" s="77" t="s">
        <v>98</v>
      </c>
      <c r="E25" s="453" t="s">
        <v>99</v>
      </c>
      <c r="F25" s="453"/>
      <c r="G25" s="453"/>
      <c r="H25" s="447" t="s">
        <v>2</v>
      </c>
      <c r="I25" s="447"/>
      <c r="J25" s="447"/>
      <c r="K25" s="447"/>
      <c r="L25" s="448"/>
    </row>
    <row r="26" spans="1:45" ht="18" thickBot="1">
      <c r="B26" s="78" t="s">
        <v>246</v>
      </c>
      <c r="C26" s="79">
        <f>AQ4</f>
        <v>18.25</v>
      </c>
      <c r="D26" s="80">
        <v>1</v>
      </c>
      <c r="E26" s="432">
        <f>D4</f>
        <v>858.22375</v>
      </c>
      <c r="F26" s="433"/>
      <c r="G26" s="434"/>
      <c r="H26" s="435">
        <f>E26*C26</f>
        <v>15662.583437499999</v>
      </c>
      <c r="I26" s="436"/>
      <c r="J26" s="436"/>
      <c r="K26" s="436"/>
      <c r="L26" s="437"/>
    </row>
    <row r="27" spans="1:45" ht="18" thickBot="1">
      <c r="B27" s="78" t="s">
        <v>100</v>
      </c>
      <c r="C27" s="79">
        <f>SUM(AQ5)</f>
        <v>12.5</v>
      </c>
      <c r="D27" s="80">
        <v>1</v>
      </c>
      <c r="E27" s="450">
        <f>D5</f>
        <v>774.875</v>
      </c>
      <c r="F27" s="451"/>
      <c r="G27" s="452"/>
      <c r="H27" s="435">
        <f>E27*C27</f>
        <v>9685.9375</v>
      </c>
      <c r="I27" s="436"/>
      <c r="J27" s="436"/>
      <c r="K27" s="436"/>
      <c r="L27" s="437"/>
    </row>
    <row r="28" spans="1:45" ht="18" thickBot="1">
      <c r="B28" s="78" t="s">
        <v>101</v>
      </c>
      <c r="C28" s="81">
        <f>SUM(AQ6:AQ8)</f>
        <v>40.5</v>
      </c>
      <c r="D28" s="80">
        <v>5</v>
      </c>
      <c r="E28" s="432">
        <f>D6</f>
        <v>722.30166666666673</v>
      </c>
      <c r="F28" s="433"/>
      <c r="G28" s="434"/>
      <c r="H28" s="435">
        <f t="shared" ref="H28:H29" si="113">E28*C28</f>
        <v>29253.217500000002</v>
      </c>
      <c r="I28" s="436"/>
      <c r="J28" s="436"/>
      <c r="K28" s="436"/>
      <c r="L28" s="437"/>
    </row>
    <row r="29" spans="1:45" ht="18" thickBot="1">
      <c r="B29" s="78" t="s">
        <v>102</v>
      </c>
      <c r="C29" s="81">
        <f>SUM(AQ9:AQ11)</f>
        <v>44</v>
      </c>
      <c r="D29" s="80">
        <v>4</v>
      </c>
      <c r="E29" s="432">
        <f>D9</f>
        <v>722.30166666666673</v>
      </c>
      <c r="F29" s="433"/>
      <c r="G29" s="434"/>
      <c r="H29" s="435">
        <f t="shared" si="113"/>
        <v>31781.273333333338</v>
      </c>
      <c r="I29" s="436"/>
      <c r="J29" s="436"/>
      <c r="K29" s="436"/>
      <c r="L29" s="437"/>
    </row>
    <row r="30" spans="1:45" ht="18" thickBot="1">
      <c r="B30" s="82" t="s">
        <v>52</v>
      </c>
      <c r="C30" s="244">
        <f>SUM(C26:C29)</f>
        <v>115.25</v>
      </c>
      <c r="D30" s="245">
        <f>D29+D28+D27+D26</f>
        <v>11</v>
      </c>
      <c r="E30" s="438"/>
      <c r="F30" s="439"/>
      <c r="G30" s="440"/>
      <c r="H30" s="441">
        <f>SUM(H26:L29)</f>
        <v>86383.011770833342</v>
      </c>
      <c r="I30" s="442"/>
      <c r="J30" s="442"/>
      <c r="K30" s="442"/>
      <c r="L30" s="443"/>
    </row>
    <row r="31" spans="1:45">
      <c r="C31" s="396" t="s">
        <v>286</v>
      </c>
      <c r="D31" s="396"/>
      <c r="E31" s="396"/>
      <c r="F31" s="396"/>
      <c r="G31" s="396"/>
      <c r="H31" s="444">
        <f>H30*15%</f>
        <v>12957.451765625001</v>
      </c>
      <c r="I31" s="445"/>
      <c r="J31" s="445"/>
      <c r="K31" s="445"/>
      <c r="L31" s="446"/>
      <c r="P31" s="74"/>
      <c r="V31" s="54"/>
    </row>
    <row r="32" spans="1:45">
      <c r="C32" s="396" t="s">
        <v>287</v>
      </c>
      <c r="D32" s="396"/>
      <c r="E32" s="396"/>
      <c r="F32" s="396"/>
      <c r="G32" s="396"/>
      <c r="H32" s="444">
        <f>H31+H30</f>
        <v>99340.463536458337</v>
      </c>
      <c r="I32" s="445"/>
      <c r="J32" s="445"/>
      <c r="K32" s="445"/>
      <c r="L32" s="446"/>
    </row>
    <row r="33" spans="3:20">
      <c r="C33" s="396" t="s">
        <v>288</v>
      </c>
      <c r="D33" s="396"/>
      <c r="E33" s="396"/>
      <c r="F33" s="396"/>
      <c r="G33" s="396"/>
      <c r="H33" s="444">
        <f>H32*9%</f>
        <v>8940.6417182812493</v>
      </c>
      <c r="I33" s="445"/>
      <c r="J33" s="445"/>
      <c r="K33" s="445"/>
      <c r="L33" s="446"/>
    </row>
    <row r="34" spans="3:20">
      <c r="C34" s="396" t="s">
        <v>288</v>
      </c>
      <c r="D34" s="396"/>
      <c r="E34" s="396"/>
      <c r="F34" s="396"/>
      <c r="G34" s="396"/>
      <c r="H34" s="444">
        <f>H32*9%</f>
        <v>8940.6417182812493</v>
      </c>
      <c r="I34" s="445"/>
      <c r="J34" s="445"/>
      <c r="K34" s="445"/>
      <c r="L34" s="446"/>
    </row>
    <row r="35" spans="3:20">
      <c r="C35" s="396" t="s">
        <v>289</v>
      </c>
      <c r="D35" s="396"/>
      <c r="E35" s="396"/>
      <c r="F35" s="396"/>
      <c r="G35" s="396"/>
      <c r="H35" s="444">
        <f>H34+H33+H32</f>
        <v>117221.74697302084</v>
      </c>
      <c r="I35" s="445"/>
      <c r="J35" s="445"/>
      <c r="K35" s="445"/>
      <c r="L35" s="446"/>
    </row>
    <row r="36" spans="3:20">
      <c r="C36" s="54"/>
      <c r="F36" s="83"/>
      <c r="K36" s="430"/>
      <c r="L36" s="431"/>
      <c r="M36" s="431"/>
      <c r="T36" s="74"/>
    </row>
    <row r="37" spans="3:20">
      <c r="C37" s="54"/>
      <c r="F37" s="83"/>
      <c r="M37" s="74"/>
    </row>
    <row r="38" spans="3:20">
      <c r="C38" s="54"/>
      <c r="F38" s="74"/>
    </row>
    <row r="39" spans="3:20">
      <c r="F39" s="84"/>
    </row>
    <row r="40" spans="3:20" hidden="1">
      <c r="F40" s="74"/>
      <c r="L40" s="74"/>
    </row>
    <row r="41" spans="3:20" hidden="1">
      <c r="F41" s="74"/>
    </row>
    <row r="42" spans="3:20" hidden="1">
      <c r="F42" s="84"/>
    </row>
    <row r="43" spans="3:20" hidden="1">
      <c r="F43" s="74"/>
    </row>
    <row r="44" spans="3:20" hidden="1">
      <c r="F44" s="74"/>
    </row>
    <row r="45" spans="3:20"/>
    <row r="46" spans="3:20"/>
    <row r="47" spans="3:20"/>
    <row r="48" spans="3:20"/>
    <row r="49"/>
    <row r="50"/>
    <row r="51"/>
    <row r="52"/>
    <row r="53"/>
    <row r="54"/>
    <row r="55"/>
  </sheetData>
  <sheetProtection password="CF7A" sheet="1" insertRows="0"/>
  <customSheetViews>
    <customSheetView guid="{5E113600-004F-4409-A088-DFECFF9BC96A}" scale="85" showGridLines="0" fitToPage="1" hiddenRows="1" hiddenColumns="1">
      <pane xSplit="4" ySplit="3" topLeftCell="E4" activePane="bottomRight" state="frozen"/>
      <selection pane="bottomRight" activeCell="AE16" sqref="AE16"/>
      <pageMargins left="0.17" right="0.15748031496062992" top="0.6692913385826772" bottom="0.31496062992125984" header="0.31496062992125984" footer="0.31496062992125984"/>
      <pageSetup paperSize="9" scale="60" orientation="landscape" r:id="rId1"/>
    </customSheetView>
    <customSheetView guid="{1F97382E-80B0-473D-874E-BD5E60D01A4B}" scale="85" showGridLines="0" fitToPage="1" hiddenRows="1" hiddenColumns="1">
      <pane xSplit="4" ySplit="3" topLeftCell="J4" activePane="bottomRight" state="frozen"/>
      <selection pane="bottomRight" activeCell="AH9" sqref="AH9"/>
      <pageMargins left="0.17" right="0.15748031496062992" top="0.6692913385826772" bottom="0.31496062992125984" header="0.31496062992125984" footer="0.31496062992125984"/>
      <pageSetup paperSize="9" scale="60" orientation="landscape" r:id="rId2"/>
    </customSheetView>
    <customSheetView guid="{7663FDEA-AE2F-416B-8123-1D493B6639C0}" scale="85" showGridLines="0" fitToPage="1" hiddenRows="1" hiddenColumns="1">
      <pane xSplit="4" ySplit="3" topLeftCell="E4" activePane="bottomRight" state="frozen"/>
      <selection pane="bottomRight" activeCell="AI16" sqref="AI16"/>
      <pageMargins left="0.17" right="0.15748031496062992" top="0.6692913385826772" bottom="0.31496062992125984" header="0.31496062992125984" footer="0.31496062992125984"/>
      <pageSetup paperSize="9" scale="60" orientation="landscape" r:id="rId3"/>
    </customSheetView>
    <customSheetView guid="{C287C8AD-6E2E-4D5F-930B-C18EF9030790}" scale="85" showGridLines="0" fitToPage="1" hiddenRows="1" hiddenColumns="1">
      <pane xSplit="4" ySplit="3" topLeftCell="E4" activePane="bottomRight" state="frozen"/>
      <selection pane="bottomRight" activeCell="AE16" sqref="AE16"/>
      <pageMargins left="0.17" right="0.15748031496062992" top="0.6692913385826772" bottom="0.31496062992125984" header="0.31496062992125984" footer="0.31496062992125984"/>
      <pageSetup paperSize="9" scale="60" orientation="landscape" r:id="rId4"/>
    </customSheetView>
  </customSheetViews>
  <mergeCells count="24">
    <mergeCell ref="H25:L25"/>
    <mergeCell ref="E26:G26"/>
    <mergeCell ref="H26:L26"/>
    <mergeCell ref="AA1:AD1"/>
    <mergeCell ref="H31:L31"/>
    <mergeCell ref="E27:G27"/>
    <mergeCell ref="H27:L27"/>
    <mergeCell ref="E25:G25"/>
    <mergeCell ref="K36:M36"/>
    <mergeCell ref="E28:G28"/>
    <mergeCell ref="H28:L28"/>
    <mergeCell ref="E29:G29"/>
    <mergeCell ref="H29:L29"/>
    <mergeCell ref="E30:G30"/>
    <mergeCell ref="H30:L30"/>
    <mergeCell ref="C32:G32"/>
    <mergeCell ref="C33:G33"/>
    <mergeCell ref="C34:G34"/>
    <mergeCell ref="C35:G35"/>
    <mergeCell ref="H33:L33"/>
    <mergeCell ref="H34:L34"/>
    <mergeCell ref="H35:L35"/>
    <mergeCell ref="H32:L32"/>
    <mergeCell ref="C31:G31"/>
  </mergeCells>
  <conditionalFormatting sqref="E4:F12 F4:F13 E4:E14 Y8:Y12 AA9:AA12 O10:O12 H12:J12 L12:AB16 Z13:AI13 E13:J16 X15:AI16 U15:U19 E16:N16 AA17:AI17 E17:AF18 X18:AI18 E19:AI22">
    <cfRule type="expression" dxfId="1012" priority="762">
      <formula>E$2="Sun"</formula>
    </cfRule>
  </conditionalFormatting>
  <conditionalFormatting sqref="E23:AI23">
    <cfRule type="expression" dxfId="1011" priority="1560">
      <formula>E$2="Sat"</formula>
    </cfRule>
    <cfRule type="expression" dxfId="1010" priority="1552">
      <formula>E$2="Sat"</formula>
    </cfRule>
    <cfRule type="expression" dxfId="1009" priority="1553">
      <formula>E$2="Sun"</formula>
    </cfRule>
    <cfRule type="expression" dxfId="1008" priority="1554">
      <formula>E$2="Sat"</formula>
    </cfRule>
    <cfRule type="expression" dxfId="1007" priority="1555">
      <formula>E$2="Sun"</formula>
    </cfRule>
    <cfRule type="expression" dxfId="1006" priority="1556">
      <formula>E$2="Sat"</formula>
    </cfRule>
    <cfRule type="expression" dxfId="1005" priority="1546">
      <formula>E$2="Sat"</formula>
    </cfRule>
    <cfRule type="expression" dxfId="1004" priority="1557">
      <formula>E$2="Sun"</formula>
    </cfRule>
    <cfRule type="expression" dxfId="1003" priority="1558">
      <formula>E$2="Sat"</formula>
    </cfRule>
    <cfRule type="expression" dxfId="1002" priority="1559">
      <formula>E$2="Sun"</formula>
    </cfRule>
    <cfRule type="expression" dxfId="1001" priority="1571">
      <formula>E$2="Sun"</formula>
    </cfRule>
    <cfRule type="expression" dxfId="1000" priority="1561">
      <formula>E$2="Sun"</formula>
    </cfRule>
    <cfRule type="expression" dxfId="999" priority="1563">
      <formula>E$2="Sun"</formula>
    </cfRule>
    <cfRule type="expression" dxfId="998" priority="1564">
      <formula>E$2="Sat"</formula>
    </cfRule>
    <cfRule type="expression" dxfId="997" priority="1565">
      <formula>E$2="Sun"</formula>
    </cfRule>
    <cfRule type="expression" dxfId="996" priority="1566">
      <formula>E$2="Sat"</formula>
    </cfRule>
    <cfRule type="expression" dxfId="995" priority="1567">
      <formula>E$2="Sun"</formula>
    </cfRule>
    <cfRule type="expression" dxfId="994" priority="1568">
      <formula>E$2="Sat"</formula>
    </cfRule>
    <cfRule type="expression" dxfId="993" priority="1569">
      <formula>E$2="Sun"</formula>
    </cfRule>
    <cfRule type="expression" dxfId="992" priority="1570">
      <formula>E$2="Sat"</formula>
    </cfRule>
    <cfRule type="expression" dxfId="991" priority="1575">
      <formula>E$2="Sun"</formula>
    </cfRule>
    <cfRule type="expression" dxfId="990" priority="1542">
      <formula>E$2="Sat"</formula>
    </cfRule>
    <cfRule type="expression" dxfId="989" priority="1543">
      <formula>E$2="Sun"</formula>
    </cfRule>
    <cfRule type="expression" dxfId="988" priority="1544">
      <formula>E$2="Sat"</formula>
    </cfRule>
    <cfRule type="expression" dxfId="987" priority="1545">
      <formula>E$2="Sun"</formula>
    </cfRule>
    <cfRule type="expression" dxfId="986" priority="1572">
      <formula>E$2="Sat"</formula>
    </cfRule>
    <cfRule type="expression" dxfId="985" priority="1562">
      <formula>E$2="Sat"</formula>
    </cfRule>
    <cfRule type="expression" dxfId="984" priority="1547">
      <formula>E$2="Sun"</formula>
    </cfRule>
    <cfRule type="expression" dxfId="983" priority="1573">
      <formula>E$2="Sun"</formula>
    </cfRule>
    <cfRule type="expression" dxfId="982" priority="1574">
      <formula>E$2="Sat"</formula>
    </cfRule>
    <cfRule type="expression" dxfId="981" priority="1548">
      <formula>E$2="Sat"</formula>
    </cfRule>
    <cfRule type="expression" dxfId="980" priority="1549">
      <formula>E$2="Sun"</formula>
    </cfRule>
    <cfRule type="expression" dxfId="979" priority="1550">
      <formula>E$2="Sat"</formula>
    </cfRule>
    <cfRule type="expression" dxfId="978" priority="1551">
      <formula>E$2="Sun"</formula>
    </cfRule>
  </conditionalFormatting>
  <conditionalFormatting sqref="F4:F13 E5:E11 Y8:Y12 AA9:AA12 O10:O12 E12:F12 H12:J12 L12:AB16 Z13:AI13 E13:J16 X15:AI16 U15:U19 E16:N16 AA17:AI17 E17:AF18 X18:AI18 E19:AI22">
    <cfRule type="expression" dxfId="977" priority="761">
      <formula>E$2="Sat"</formula>
    </cfRule>
    <cfRule type="expression" dxfId="976" priority="747">
      <formula>E$3="Sun"</formula>
    </cfRule>
    <cfRule type="expression" dxfId="975" priority="746">
      <formula>E$3="Sat"</formula>
    </cfRule>
    <cfRule type="expression" dxfId="974" priority="745">
      <formula>E$2="Sat"</formula>
    </cfRule>
    <cfRule type="expression" dxfId="973" priority="744">
      <formula>E$2="Sun"</formula>
    </cfRule>
    <cfRule type="expression" dxfId="972" priority="752">
      <formula>E$2="Sun"</formula>
    </cfRule>
    <cfRule type="expression" dxfId="971" priority="743">
      <formula>E$3="Sun"</formula>
    </cfRule>
    <cfRule type="expression" dxfId="970" priority="742">
      <formula>E$3="Sat"</formula>
    </cfRule>
    <cfRule type="expression" dxfId="969" priority="740">
      <formula>E$3="Sun"</formula>
    </cfRule>
    <cfRule type="expression" dxfId="968" priority="739">
      <formula>E$3="Sat"</formula>
    </cfRule>
    <cfRule type="expression" dxfId="967" priority="738">
      <formula>E$2="Sat"</formula>
    </cfRule>
    <cfRule type="expression" dxfId="966" priority="760">
      <formula>E$2="Sun"</formula>
    </cfRule>
    <cfRule type="expression" dxfId="965" priority="759">
      <formula>E$2="Sat"</formula>
    </cfRule>
    <cfRule type="expression" dxfId="964" priority="758">
      <formula>E$2="Sun"</formula>
    </cfRule>
    <cfRule type="expression" dxfId="963" priority="757">
      <formula>E$3="Sun"</formula>
    </cfRule>
    <cfRule type="expression" dxfId="962" priority="756">
      <formula>E$3="Sat"</formula>
    </cfRule>
    <cfRule type="expression" dxfId="961" priority="755">
      <formula>E$2="Sat"</formula>
    </cfRule>
    <cfRule type="expression" dxfId="960" priority="754">
      <formula>E$2="Sun"</formula>
    </cfRule>
    <cfRule type="expression" dxfId="959" priority="753">
      <formula>E$2="Sat"</formula>
    </cfRule>
    <cfRule type="expression" dxfId="958" priority="736">
      <formula>E$2="Sun"</formula>
    </cfRule>
    <cfRule type="expression" dxfId="957" priority="750">
      <formula>E$3="Sat"</formula>
    </cfRule>
    <cfRule type="expression" dxfId="956" priority="749">
      <formula>E$2="Sat"</formula>
    </cfRule>
    <cfRule type="expression" dxfId="955" priority="741">
      <formula>E$2="Sun"</formula>
    </cfRule>
    <cfRule type="expression" dxfId="954" priority="751">
      <formula>E$3="Sun"</formula>
    </cfRule>
    <cfRule type="expression" dxfId="953" priority="748">
      <formula>E$2="Sun"</formula>
    </cfRule>
  </conditionalFormatting>
  <conditionalFormatting sqref="F4:F13 E12:F12 H12:J12 L12:AB16 E13:J16 E16:N16 E17:AF18 E19:AI22 Y8:Y12 AA9:AA12 Z13:AI13 E5:E11 O10:O12 X15:AI16 U15:U19 AA17:AI17 X18:AI18">
    <cfRule type="expression" dxfId="952" priority="735">
      <formula>E$2="Sat"</formula>
    </cfRule>
  </conditionalFormatting>
  <conditionalFormatting sqref="F12 H12:I12 F13:I22">
    <cfRule type="expression" dxfId="951" priority="733">
      <formula>F$2="Sat"</formula>
    </cfRule>
    <cfRule type="expression" dxfId="950" priority="732">
      <formula>F$2="Sun"</formula>
    </cfRule>
    <cfRule type="expression" dxfId="949" priority="731">
      <formula>F$2="Sat"</formula>
    </cfRule>
    <cfRule type="expression" dxfId="948" priority="730">
      <formula>F$2="Sun"</formula>
    </cfRule>
  </conditionalFormatting>
  <conditionalFormatting sqref="F12 H12:J12 F13:J16 F17:L22 L12:L16">
    <cfRule type="expression" dxfId="947" priority="734">
      <formula>F$2="Sun"</formula>
    </cfRule>
  </conditionalFormatting>
  <conditionalFormatting sqref="F12 H12:J12 L12:L16 F13:J16 F17:L22">
    <cfRule type="expression" dxfId="946" priority="943">
      <formula>F$2="Sat"</formula>
    </cfRule>
    <cfRule type="expression" dxfId="945" priority="941">
      <formula>F$2="Sat"</formula>
    </cfRule>
    <cfRule type="expression" dxfId="944" priority="942">
      <formula>F$2="Sun"</formula>
    </cfRule>
    <cfRule type="expression" dxfId="943" priority="944">
      <formula>F$2="Sun"</formula>
    </cfRule>
  </conditionalFormatting>
  <conditionalFormatting sqref="F17:AI23 G4:J4 AH4:AH7 E4:E14 H4:H14 H5:J6 I6:J15 G7:J7 AF7:AF10 H8:J12 R10:R11 L12:AG13 F13:J16 L14:AI16 O10:O12 P11:R11 AA9:AA12 Y8:Y12 AI12:AI13 Z13:AI13 U15:U19 F12">
    <cfRule type="expression" dxfId="942" priority="1576">
      <formula>E$2="Sat"</formula>
    </cfRule>
  </conditionalFormatting>
  <conditionalFormatting sqref="F23:AI23 AC8:AD10">
    <cfRule type="expression" dxfId="941" priority="1578">
      <formula>F$2="Sat"</formula>
    </cfRule>
  </conditionalFormatting>
  <conditionalFormatting sqref="F23:AI23">
    <cfRule type="expression" dxfId="940" priority="1577">
      <formula>F$2="Sun"</formula>
    </cfRule>
  </conditionalFormatting>
  <conditionalFormatting sqref="G4">
    <cfRule type="expression" dxfId="939" priority="1422">
      <formula>G$2="Sun"</formula>
    </cfRule>
    <cfRule type="expression" dxfId="938" priority="1421">
      <formula>G$2="Sat"</formula>
    </cfRule>
    <cfRule type="expression" dxfId="937" priority="1418">
      <formula>G$2="Sat"</formula>
    </cfRule>
    <cfRule type="expression" dxfId="936" priority="1419">
      <formula>G$3="Sat"</formula>
    </cfRule>
    <cfRule type="expression" dxfId="935" priority="1420">
      <formula>G$3="Sun"</formula>
    </cfRule>
    <cfRule type="cellIs" dxfId="934" priority="1416" stopIfTrue="1" operator="equal">
      <formula>"A"</formula>
    </cfRule>
    <cfRule type="expression" dxfId="933" priority="1417">
      <formula>G$2="Sun"</formula>
    </cfRule>
  </conditionalFormatting>
  <conditionalFormatting sqref="G5">
    <cfRule type="expression" dxfId="932" priority="2">
      <formula>G$2="Sat"</formula>
    </cfRule>
    <cfRule type="expression" dxfId="931" priority="3">
      <formula>G$3="Sat"</formula>
    </cfRule>
    <cfRule type="expression" dxfId="930" priority="4">
      <formula>G$3="Sun"</formula>
    </cfRule>
    <cfRule type="expression" dxfId="929" priority="5">
      <formula>G$2="Sun"</formula>
    </cfRule>
    <cfRule type="expression" dxfId="928" priority="6">
      <formula>G$3="Sat"</formula>
    </cfRule>
    <cfRule type="expression" dxfId="927" priority="7">
      <formula>G$3="Sun"</formula>
    </cfRule>
    <cfRule type="expression" dxfId="926" priority="8">
      <formula>G$2="Sun"</formula>
    </cfRule>
    <cfRule type="expression" dxfId="925" priority="9">
      <formula>G$2="Sat"</formula>
    </cfRule>
    <cfRule type="expression" dxfId="924" priority="10">
      <formula>G$3="Sat"</formula>
    </cfRule>
    <cfRule type="expression" dxfId="923" priority="11">
      <formula>G$3="Sun"</formula>
    </cfRule>
    <cfRule type="expression" dxfId="922" priority="12">
      <formula>G$2="Sun"</formula>
    </cfRule>
    <cfRule type="expression" dxfId="921" priority="13">
      <formula>G$3="Sat"</formula>
    </cfRule>
    <cfRule type="expression" dxfId="920" priority="14">
      <formula>G$3="Sun"</formula>
    </cfRule>
    <cfRule type="expression" dxfId="919" priority="15">
      <formula>G$2="Sun"</formula>
    </cfRule>
    <cfRule type="expression" dxfId="918" priority="16">
      <formula>G$2="Sat"</formula>
    </cfRule>
    <cfRule type="expression" dxfId="917" priority="17">
      <formula>G$2="Sun"</formula>
    </cfRule>
    <cfRule type="expression" dxfId="916" priority="18">
      <formula>G$3="Sun"</formula>
    </cfRule>
    <cfRule type="expression" dxfId="915" priority="19">
      <formula>G$2="Sat"</formula>
    </cfRule>
    <cfRule type="expression" dxfId="914" priority="1">
      <formula>G$2="Sun"</formula>
    </cfRule>
    <cfRule type="expression" dxfId="913" priority="21">
      <formula>G$2="Sat"</formula>
    </cfRule>
  </conditionalFormatting>
  <conditionalFormatting sqref="G6">
    <cfRule type="expression" dxfId="912" priority="191">
      <formula>G$3="Sun"</formula>
    </cfRule>
    <cfRule type="expression" dxfId="911" priority="190">
      <formula>G$3="Sat"</formula>
    </cfRule>
    <cfRule type="expression" dxfId="910" priority="208">
      <formula>G$2="Sat"</formula>
    </cfRule>
    <cfRule type="expression" dxfId="909" priority="192">
      <formula>G$2="Sun"</formula>
    </cfRule>
    <cfRule type="expression" dxfId="908" priority="193">
      <formula>G$3="Sat"</formula>
    </cfRule>
    <cfRule type="expression" dxfId="907" priority="194">
      <formula>G$3="Sun"</formula>
    </cfRule>
    <cfRule type="expression" dxfId="906" priority="195">
      <formula>G$2="Sun"</formula>
    </cfRule>
    <cfRule type="expression" dxfId="905" priority="196">
      <formula>G$2="Sat"</formula>
    </cfRule>
    <cfRule type="expression" dxfId="904" priority="197">
      <formula>G$3="Sat"</formula>
    </cfRule>
    <cfRule type="expression" dxfId="903" priority="198">
      <formula>G$3="Sun"</formula>
    </cfRule>
    <cfRule type="expression" dxfId="902" priority="199">
      <formula>G$2="Sun"</formula>
    </cfRule>
    <cfRule type="expression" dxfId="901" priority="200">
      <formula>G$3="Sat"</formula>
    </cfRule>
    <cfRule type="expression" dxfId="900" priority="201">
      <formula>G$3="Sun"</formula>
    </cfRule>
    <cfRule type="expression" dxfId="899" priority="202">
      <formula>G$2="Sun"</formula>
    </cfRule>
    <cfRule type="expression" dxfId="898" priority="203">
      <formula>G$2="Sat"</formula>
    </cfRule>
    <cfRule type="expression" dxfId="897" priority="204">
      <formula>G$2="Sun"</formula>
    </cfRule>
    <cfRule type="expression" dxfId="896" priority="205">
      <formula>G$3="Sun"</formula>
    </cfRule>
    <cfRule type="expression" dxfId="895" priority="206">
      <formula>G$2="Sat"</formula>
    </cfRule>
    <cfRule type="expression" dxfId="894" priority="207">
      <formula>G$2="Sun"</formula>
    </cfRule>
    <cfRule type="cellIs" dxfId="893" priority="181" stopIfTrue="1" operator="equal">
      <formula>"A"</formula>
    </cfRule>
    <cfRule type="expression" dxfId="892" priority="182">
      <formula>G$2="Sun"</formula>
    </cfRule>
    <cfRule type="expression" dxfId="891" priority="183">
      <formula>G$2="Sat"</formula>
    </cfRule>
    <cfRule type="expression" dxfId="890" priority="184">
      <formula>G$3="Sat"</formula>
    </cfRule>
    <cfRule type="expression" dxfId="889" priority="185">
      <formula>G$3="Sun"</formula>
    </cfRule>
    <cfRule type="expression" dxfId="888" priority="186">
      <formula>G$2="Sat"</formula>
    </cfRule>
    <cfRule type="expression" dxfId="887" priority="187">
      <formula>G$2="Sun"</formula>
    </cfRule>
    <cfRule type="expression" dxfId="886" priority="189">
      <formula>G$2="Sat"</formula>
    </cfRule>
  </conditionalFormatting>
  <conditionalFormatting sqref="G8:G12">
    <cfRule type="cellIs" dxfId="885" priority="152" stopIfTrue="1" operator="equal">
      <formula>"A"</formula>
    </cfRule>
    <cfRule type="expression" dxfId="884" priority="151">
      <formula>G$2="Sun"</formula>
    </cfRule>
    <cfRule type="expression" dxfId="883" priority="167">
      <formula>G$2="Sat"</formula>
    </cfRule>
    <cfRule type="expression" dxfId="882" priority="166">
      <formula>G$2="Sun"</formula>
    </cfRule>
    <cfRule type="expression" dxfId="881" priority="165">
      <formula>G$3="Sun"</formula>
    </cfRule>
    <cfRule type="expression" dxfId="880" priority="164">
      <formula>G$3="Sat"</formula>
    </cfRule>
    <cfRule type="expression" dxfId="879" priority="163">
      <formula>G$2="Sun"</formula>
    </cfRule>
    <cfRule type="expression" dxfId="878" priority="169">
      <formula>G$3="Sun"</formula>
    </cfRule>
    <cfRule type="expression" dxfId="877" priority="170">
      <formula>G$2="Sun"</formula>
    </cfRule>
    <cfRule type="expression" dxfId="876" priority="171">
      <formula>G$3="Sat"</formula>
    </cfRule>
    <cfRule type="expression" dxfId="875" priority="172">
      <formula>G$3="Sun"</formula>
    </cfRule>
    <cfRule type="expression" dxfId="874" priority="173">
      <formula>G$2="Sun"</formula>
    </cfRule>
    <cfRule type="expression" dxfId="873" priority="174">
      <formula>G$2="Sat"</formula>
    </cfRule>
    <cfRule type="expression" dxfId="872" priority="175">
      <formula>G$2="Sun"</formula>
    </cfRule>
    <cfRule type="expression" dxfId="871" priority="176">
      <formula>G$3="Sun"</formula>
    </cfRule>
    <cfRule type="expression" dxfId="870" priority="177">
      <formula>G$2="Sat"</formula>
    </cfRule>
    <cfRule type="expression" dxfId="869" priority="178">
      <formula>G$2="Sun"</formula>
    </cfRule>
    <cfRule type="expression" dxfId="868" priority="179">
      <formula>G$2="Sat"</formula>
    </cfRule>
    <cfRule type="expression" dxfId="867" priority="162">
      <formula>G$3="Sun"</formula>
    </cfRule>
    <cfRule type="expression" dxfId="866" priority="168">
      <formula>G$3="Sat"</formula>
    </cfRule>
    <cfRule type="expression" dxfId="865" priority="161">
      <formula>G$3="Sat"</formula>
    </cfRule>
    <cfRule type="expression" dxfId="864" priority="160">
      <formula>G$2="Sat"</formula>
    </cfRule>
    <cfRule type="expression" dxfId="863" priority="158">
      <formula>G$2="Sun"</formula>
    </cfRule>
    <cfRule type="expression" dxfId="862" priority="157">
      <formula>G$2="Sat"</formula>
    </cfRule>
    <cfRule type="expression" dxfId="861" priority="156">
      <formula>G$3="Sun"</formula>
    </cfRule>
    <cfRule type="expression" dxfId="860" priority="155">
      <formula>G$3="Sat"</formula>
    </cfRule>
    <cfRule type="expression" dxfId="859" priority="154">
      <formula>G$2="Sat"</formula>
    </cfRule>
    <cfRule type="expression" dxfId="858" priority="153">
      <formula>G$2="Sun"</formula>
    </cfRule>
  </conditionalFormatting>
  <conditionalFormatting sqref="G4:J4 L4:O6 Q4:AF6 V4:V10 AB4:AB11 E4:E14 H4:H14 L4:L14 O5:AI5 H5:J6 AE6:AI6 I6:J15 G7:J7 L7:AI7 H8:J8 M8:R8 T8:X8 Z8:AF8 N8:N9 R8:R10 U8:U10 AC9 H12:J12 L12:AG13 F13:J16 L14:AI16 F17:AI22 O10:O12 AA9:AA12 Y8:Y12 AI12:AI13 Z13:AI13 U15:U19 F12">
    <cfRule type="expression" dxfId="857" priority="1444">
      <formula>E$3="Sat"</formula>
    </cfRule>
  </conditionalFormatting>
  <conditionalFormatting sqref="G4:J4 L4:O6 Q4:AF6 V4:V10 AB4:AB11 E4:E14 H4:H22 L4:L22 O5:AI5 H5:J6 AE6:AI6 I6:J15 G7:J7 L7:AI7 H8:J8 M8:R8 T8:X8 Z8:AF8 N8:N9 R8:R10 U8:U10 AC9">
    <cfRule type="expression" dxfId="856" priority="1432">
      <formula>E$3="Sun"</formula>
    </cfRule>
    <cfRule type="expression" dxfId="855" priority="1433">
      <formula>E$2="Sun"</formula>
    </cfRule>
    <cfRule type="expression" dxfId="854" priority="1446">
      <formula>E$2="Sun"</formula>
    </cfRule>
    <cfRule type="expression" dxfId="853" priority="1445">
      <formula>E$3="Sun"</formula>
    </cfRule>
    <cfRule type="expression" dxfId="852" priority="1434">
      <formula>E$3="Sat"</formula>
    </cfRule>
    <cfRule type="expression" dxfId="851" priority="1448">
      <formula>E$2="Sun"</formula>
    </cfRule>
    <cfRule type="expression" dxfId="850" priority="1447">
      <formula>E$2="Sat"</formula>
    </cfRule>
    <cfRule type="expression" dxfId="849" priority="1439">
      <formula>E$3="Sun"</formula>
    </cfRule>
    <cfRule type="expression" dxfId="848" priority="1438">
      <formula>E$3="Sat"</formula>
    </cfRule>
    <cfRule type="expression" dxfId="847" priority="1437">
      <formula>E$2="Sat"</formula>
    </cfRule>
    <cfRule type="expression" dxfId="846" priority="1436">
      <formula>E$2="Sun"</formula>
    </cfRule>
    <cfRule type="expression" dxfId="845" priority="1435">
      <formula>E$3="Sun"</formula>
    </cfRule>
  </conditionalFormatting>
  <conditionalFormatting sqref="G4:J4 L4:O6 Q4:AF6 V4:V10 AB4:AB11 E4:E14 H4:H22 L4:L22 O5:AI5 H5:J8 AE6:AI6 I6:J15 G7:J7 L7:AI7 M8:R8 T8:X8 Z8:AF8 N8:N9 R8:R10 U8:U10 AC9">
    <cfRule type="expression" dxfId="844" priority="1440">
      <formula>E$2="Sun"</formula>
    </cfRule>
  </conditionalFormatting>
  <conditionalFormatting sqref="G4:J7">
    <cfRule type="expression" dxfId="843" priority="20">
      <formula>G$2="Sun"</formula>
    </cfRule>
  </conditionalFormatting>
  <conditionalFormatting sqref="H8:J9 L9:R9">
    <cfRule type="expression" dxfId="842" priority="969">
      <formula>H$2="Sun"</formula>
    </cfRule>
  </conditionalFormatting>
  <conditionalFormatting sqref="H9:J9 L9:R9 U9:X9 Z9:AE9 L9:L10">
    <cfRule type="expression" dxfId="841" priority="1360">
      <formula>H$3="Sun"</formula>
    </cfRule>
    <cfRule type="expression" dxfId="840" priority="1361">
      <formula>H$2="Sun"</formula>
    </cfRule>
    <cfRule type="expression" dxfId="839" priority="1362">
      <formula>H$2="Sat"</formula>
    </cfRule>
    <cfRule type="expression" dxfId="838" priority="1373">
      <formula>H$2="Sun"</formula>
    </cfRule>
    <cfRule type="expression" dxfId="837" priority="1372">
      <formula>H$2="Sat"</formula>
    </cfRule>
    <cfRule type="expression" dxfId="836" priority="1363">
      <formula>H$3="Sat"</formula>
    </cfRule>
    <cfRule type="expression" dxfId="835" priority="1364">
      <formula>H$3="Sun"</formula>
    </cfRule>
    <cfRule type="expression" dxfId="834" priority="1366">
      <formula>H$2="Sat"</formula>
    </cfRule>
    <cfRule type="expression" dxfId="833" priority="1367">
      <formula>H$2="Sun"</formula>
    </cfRule>
    <cfRule type="expression" dxfId="832" priority="1368">
      <formula>H$2="Sat"</formula>
    </cfRule>
    <cfRule type="expression" dxfId="831" priority="1369">
      <formula>H$3="Sat"</formula>
    </cfRule>
    <cfRule type="expression" dxfId="830" priority="1370">
      <formula>H$3="Sun"</formula>
    </cfRule>
    <cfRule type="expression" dxfId="829" priority="1371">
      <formula>H$2="Sun"</formula>
    </cfRule>
    <cfRule type="expression" dxfId="828" priority="1365">
      <formula>H$2="Sun"</formula>
    </cfRule>
    <cfRule type="expression" dxfId="827" priority="1353">
      <formula>H$3="Sun"</formula>
    </cfRule>
    <cfRule type="expression" dxfId="826" priority="1354">
      <formula>H$2="Sun"</formula>
    </cfRule>
    <cfRule type="expression" dxfId="825" priority="1355">
      <formula>H$3="Sat"</formula>
    </cfRule>
    <cfRule type="expression" dxfId="824" priority="1356">
      <formula>H$3="Sun"</formula>
    </cfRule>
    <cfRule type="expression" dxfId="823" priority="1357">
      <formula>H$2="Sun"</formula>
    </cfRule>
    <cfRule type="expression" dxfId="822" priority="1358">
      <formula>H$2="Sat"</formula>
    </cfRule>
    <cfRule type="expression" dxfId="821" priority="1359">
      <formula>H$3="Sat"</formula>
    </cfRule>
  </conditionalFormatting>
  <conditionalFormatting sqref="H9:J9">
    <cfRule type="expression" dxfId="820" priority="968">
      <formula>H$2="Sat"</formula>
    </cfRule>
  </conditionalFormatting>
  <conditionalFormatting sqref="H11:J11 L11:P11 T11:W11">
    <cfRule type="expression" dxfId="819" priority="1406">
      <formula>H$2="Sun"</formula>
    </cfRule>
  </conditionalFormatting>
  <conditionalFormatting sqref="H11:J11 L11:P11">
    <cfRule type="expression" dxfId="818" priority="1397">
      <formula>H$2="Sun"</formula>
    </cfRule>
  </conditionalFormatting>
  <conditionalFormatting sqref="J8:J10 W8:W10 AC8:AD10 AF8:AF10 H8:H12 Y8:Y12 AA9:AA12 H10:J10 L10:R10 T10:X10 Z10:AF10 O10:O12 N10:N13 F12 H12:J12 L12:AG13 AI12:AI13 Z13:AI13 F13:J16 L14:AI16 U15:U19 F17:AI22">
    <cfRule type="expression" dxfId="817" priority="1596">
      <formula>F$3="Sun"</formula>
    </cfRule>
    <cfRule type="expression" dxfId="816" priority="1595">
      <formula>F$3="Sat"</formula>
    </cfRule>
    <cfRule type="expression" dxfId="815" priority="1594">
      <formula>F$2="Sat"</formula>
    </cfRule>
    <cfRule type="expression" dxfId="814" priority="1593">
      <formula>F$2="Sun"</formula>
    </cfRule>
    <cfRule type="expression" dxfId="813" priority="1592">
      <formula>F$3="Sun"</formula>
    </cfRule>
    <cfRule type="expression" dxfId="812" priority="1591">
      <formula>F$3="Sat"</formula>
    </cfRule>
    <cfRule type="expression" dxfId="811" priority="1590">
      <formula>F$2="Sat"</formula>
    </cfRule>
    <cfRule type="expression" dxfId="810" priority="1589">
      <formula>F$2="Sun"</formula>
    </cfRule>
    <cfRule type="expression" dxfId="809" priority="1588">
      <formula>F$3="Sun"</formula>
    </cfRule>
    <cfRule type="expression" dxfId="808" priority="1598">
      <formula>F$3="Sat"</formula>
    </cfRule>
    <cfRule type="expression" dxfId="807" priority="1599">
      <formula>F$3="Sun"</formula>
    </cfRule>
  </conditionalFormatting>
  <conditionalFormatting sqref="J8:J10 W8:W10 AC8:AD10 AF8:AF10 H8:H12 AA9:AA12 H10:J10 L10:R10 T10:X10 Z10:AF10 N10:N13">
    <cfRule type="expression" dxfId="806" priority="1586">
      <formula>H$2="Sun"</formula>
    </cfRule>
  </conditionalFormatting>
  <conditionalFormatting sqref="J8:J10 W8:W10 AC8:AD10 AF8:AF10 H8:H12 AA9:AA12 H10:J10 L10:R10 T10:X10 Z10:AF10 O10:O12 N10:N13 H12:J12 L12:AG13 Y8:Y12 F12 AI12:AI13 Z13:AI13 F13:J16 L14:AI16 U15:U19 F17:AI22">
    <cfRule type="expression" dxfId="805" priority="1585">
      <formula>F$3="Sun"</formula>
    </cfRule>
    <cfRule type="expression" dxfId="804" priority="1587">
      <formula>F$3="Sat"</formula>
    </cfRule>
  </conditionalFormatting>
  <conditionalFormatting sqref="J8:J10 W8:W10 AC8:AD10 AF8:AG11 H8:H12 Y8:Y12 AI8:AI13 AA9:AA12 H10:J10 L10:R10 T10:X10 Z10:AF10 P10:P11 O10:O12 N10:N13 F12 H12:J12 L12:AG13 Z13:AI13 F13:J16 L14:AI16 U15:U19 F17:AI23 K4:K5 AG7:AI7 I11 W11:X11 AH4:AH6">
    <cfRule type="expression" dxfId="803" priority="1600">
      <formula>F$2="Sun"</formula>
    </cfRule>
  </conditionalFormatting>
  <conditionalFormatting sqref="J8:J10 W8:W10 AC8:AD10 AF8:AG11 H8:H12 Y8:Y12 AI8:AI13 AA9:AA12 H10:J10 L10:R10 T10:X10 Z10:AF10 P10:P11 O10:O12 N10:N13 F12 H12:J12 L12:AG13 Z13:AI13 F13:J16 L14:AI16 U15:U19 F17:AI23 AG7:AI7 I11 W11:X11 K4:K5">
    <cfRule type="expression" dxfId="802" priority="1597">
      <formula>F$2="Sat"</formula>
    </cfRule>
  </conditionalFormatting>
  <conditionalFormatting sqref="J8:J10 AC8:AD10 H8:H12 U9:X9 L9:R10 Z9:AF10 N10:N13">
    <cfRule type="expression" dxfId="801" priority="1374">
      <formula>H$2="Sat"</formula>
    </cfRule>
  </conditionalFormatting>
  <conditionalFormatting sqref="J8:J10 AC8:AD10 AF8:AF10 H8:H12 U9:X9 L9:R10 Z9:AF10 H9:J11 N10:N13">
    <cfRule type="expression" dxfId="800" priority="1375">
      <formula>H$2="Sun"</formula>
    </cfRule>
  </conditionalFormatting>
  <conditionalFormatting sqref="K4:K5 L7:AF7">
    <cfRule type="expression" dxfId="799" priority="1014">
      <formula>K$2="Sun"</formula>
    </cfRule>
  </conditionalFormatting>
  <conditionalFormatting sqref="K4:K5">
    <cfRule type="expression" dxfId="798" priority="1007">
      <formula>K$3="Sat"</formula>
    </cfRule>
    <cfRule type="expression" dxfId="797" priority="1004">
      <formula>K$2="Sat"</formula>
    </cfRule>
    <cfRule type="expression" dxfId="796" priority="1003">
      <formula>K$2="Sun"</formula>
    </cfRule>
    <cfRule type="expression" dxfId="795" priority="1002">
      <formula>K$2="Sat"</formula>
    </cfRule>
    <cfRule type="expression" dxfId="794" priority="1001">
      <formula>K$2="Sun"</formula>
    </cfRule>
    <cfRule type="expression" dxfId="793" priority="1000">
      <formula>K$3="Sun"</formula>
    </cfRule>
    <cfRule type="expression" dxfId="792" priority="999">
      <formula>K$3="Sat"</formula>
    </cfRule>
    <cfRule type="expression" dxfId="791" priority="997">
      <formula>K$2="Sat"</formula>
    </cfRule>
    <cfRule type="expression" dxfId="790" priority="995">
      <formula>K$2="Sun"</formula>
    </cfRule>
    <cfRule type="expression" dxfId="789" priority="994">
      <formula>K$3="Sun"</formula>
    </cfRule>
    <cfRule type="expression" dxfId="788" priority="993">
      <formula>K$3="Sat"</formula>
    </cfRule>
    <cfRule type="expression" dxfId="787" priority="992">
      <formula>K$2="Sat"</formula>
    </cfRule>
    <cfRule type="expression" dxfId="786" priority="990">
      <formula>K$3="Sun"</formula>
    </cfRule>
    <cfRule type="expression" dxfId="785" priority="989">
      <formula>K$3="Sat"</formula>
    </cfRule>
    <cfRule type="expression" dxfId="784" priority="988">
      <formula>K$2="Sun"</formula>
    </cfRule>
    <cfRule type="expression" dxfId="783" priority="987">
      <formula>K$3="Sun"</formula>
    </cfRule>
    <cfRule type="expression" dxfId="782" priority="986">
      <formula>K$3="Sat"</formula>
    </cfRule>
    <cfRule type="expression" dxfId="781" priority="985">
      <formula>K$2="Sat"</formula>
    </cfRule>
    <cfRule type="expression" dxfId="780" priority="991">
      <formula>K$2="Sun"</formula>
    </cfRule>
    <cfRule type="expression" dxfId="779" priority="1013">
      <formula>K$2="Sat"</formula>
    </cfRule>
    <cfRule type="expression" dxfId="778" priority="1011">
      <formula>K$2="Sun"</formula>
    </cfRule>
    <cfRule type="expression" dxfId="777" priority="1010">
      <formula>K$2="Sat"</formula>
    </cfRule>
    <cfRule type="expression" dxfId="776" priority="1009">
      <formula>K$2="Sun"</formula>
    </cfRule>
    <cfRule type="expression" dxfId="775" priority="1008">
      <formula>K$3="Sun"</formula>
    </cfRule>
  </conditionalFormatting>
  <conditionalFormatting sqref="K4:K16">
    <cfRule type="expression" dxfId="774" priority="150">
      <formula>K$2="Sun"</formula>
    </cfRule>
    <cfRule type="expression" dxfId="773" priority="149">
      <formula>K$2="Sat"</formula>
    </cfRule>
  </conditionalFormatting>
  <conditionalFormatting sqref="K6:K16">
    <cfRule type="expression" dxfId="772" priority="122">
      <formula>K$2="Sat"</formula>
    </cfRule>
    <cfRule type="expression" dxfId="771" priority="141">
      <formula>K$2="Sat"</formula>
    </cfRule>
    <cfRule type="expression" dxfId="770" priority="142">
      <formula>K$3="Sat"</formula>
    </cfRule>
    <cfRule type="expression" dxfId="769" priority="143">
      <formula>K$3="Sun"</formula>
    </cfRule>
    <cfRule type="expression" dxfId="768" priority="144">
      <formula>K$2="Sun"</formula>
    </cfRule>
    <cfRule type="expression" dxfId="767" priority="145">
      <formula>K$2="Sat"</formula>
    </cfRule>
    <cfRule type="expression" dxfId="766" priority="146">
      <formula>K$2="Sun"</formula>
    </cfRule>
    <cfRule type="expression" dxfId="765" priority="147">
      <formula>K$2="Sat"</formula>
    </cfRule>
    <cfRule type="expression" dxfId="764" priority="148">
      <formula>K$2="Sun"</formula>
    </cfRule>
    <cfRule type="expression" dxfId="763" priority="130">
      <formula>K$2="Sun"</formula>
    </cfRule>
    <cfRule type="expression" dxfId="762" priority="123">
      <formula>K$2="Sun"</formula>
    </cfRule>
    <cfRule type="expression" dxfId="761" priority="124">
      <formula>K$2="Sat"</formula>
    </cfRule>
    <cfRule type="expression" dxfId="760" priority="125">
      <formula>K$3="Sat"</formula>
    </cfRule>
    <cfRule type="expression" dxfId="759" priority="126">
      <formula>K$3="Sun"</formula>
    </cfRule>
    <cfRule type="expression" dxfId="758" priority="127">
      <formula>K$2="Sun"</formula>
    </cfRule>
    <cfRule type="expression" dxfId="757" priority="129">
      <formula>K$3="Sun"</formula>
    </cfRule>
    <cfRule type="expression" dxfId="756" priority="131">
      <formula>K$2="Sat"</formula>
    </cfRule>
    <cfRule type="expression" dxfId="755" priority="132">
      <formula>K$3="Sat"</formula>
    </cfRule>
    <cfRule type="expression" dxfId="754" priority="133">
      <formula>K$3="Sun"</formula>
    </cfRule>
    <cfRule type="expression" dxfId="753" priority="134">
      <formula>K$2="Sun"</formula>
    </cfRule>
    <cfRule type="expression" dxfId="752" priority="128">
      <formula>K$3="Sat"</formula>
    </cfRule>
    <cfRule type="expression" dxfId="751" priority="135">
      <formula>K$2="Sat"</formula>
    </cfRule>
    <cfRule type="expression" dxfId="750" priority="136">
      <formula>K$3="Sat"</formula>
    </cfRule>
    <cfRule type="expression" dxfId="749" priority="137">
      <formula>K$3="Sun"</formula>
    </cfRule>
    <cfRule type="expression" dxfId="748" priority="138">
      <formula>K$2="Sun"</formula>
    </cfRule>
    <cfRule type="expression" dxfId="747" priority="139">
      <formula>K$2="Sat"</formula>
    </cfRule>
    <cfRule type="expression" dxfId="746" priority="140">
      <formula>K$2="Sun"</formula>
    </cfRule>
  </conditionalFormatting>
  <conditionalFormatting sqref="L7">
    <cfRule type="expression" dxfId="745" priority="1456">
      <formula>L$3="Sun"</formula>
    </cfRule>
  </conditionalFormatting>
  <conditionalFormatting sqref="L8">
    <cfRule type="expression" dxfId="744" priority="626">
      <formula>L$2="Sat"</formula>
    </cfRule>
    <cfRule type="expression" dxfId="743" priority="625">
      <formula>L$2="Sun"</formula>
    </cfRule>
    <cfRule type="expression" dxfId="742" priority="624">
      <formula>L$3="Sun"</formula>
    </cfRule>
    <cfRule type="expression" dxfId="741" priority="623">
      <formula>L$3="Sat"</formula>
    </cfRule>
    <cfRule type="expression" dxfId="740" priority="621">
      <formula>L$2="Sat"</formula>
    </cfRule>
    <cfRule type="expression" dxfId="739" priority="619">
      <formula>L$2="Sun"</formula>
    </cfRule>
    <cfRule type="expression" dxfId="738" priority="618">
      <formula>L$3="Sun"</formula>
    </cfRule>
    <cfRule type="expression" dxfId="737" priority="617">
      <formula>L$3="Sat"</formula>
    </cfRule>
    <cfRule type="expression" dxfId="736" priority="616">
      <formula>L$2="Sat"</formula>
    </cfRule>
    <cfRule type="expression" dxfId="735" priority="615">
      <formula>L$2="Sun"</formula>
    </cfRule>
    <cfRule type="expression" dxfId="734" priority="614">
      <formula>L$3="Sun"</formula>
    </cfRule>
    <cfRule type="expression" dxfId="733" priority="613">
      <formula>L$3="Sat"</formula>
    </cfRule>
    <cfRule type="expression" dxfId="732" priority="612">
      <formula>L$2="Sun"</formula>
    </cfRule>
    <cfRule type="expression" dxfId="731" priority="611">
      <formula>L$3="Sun"</formula>
    </cfRule>
    <cfRule type="expression" dxfId="730" priority="609">
      <formula>L$2="Sat"</formula>
    </cfRule>
    <cfRule type="expression" dxfId="729" priority="607">
      <formula>L$2="Sat"</formula>
    </cfRule>
    <cfRule type="expression" dxfId="728" priority="633">
      <formula>L$2="Sun"</formula>
    </cfRule>
    <cfRule type="expression" dxfId="727" priority="610">
      <formula>L$3="Sat"</formula>
    </cfRule>
    <cfRule type="expression" dxfId="726" priority="608">
      <formula>L$2="Sun"</formula>
    </cfRule>
    <cfRule type="expression" dxfId="725" priority="630">
      <formula>L$3="Sun"</formula>
    </cfRule>
    <cfRule type="expression" dxfId="724" priority="629">
      <formula>L$3="Sat"</formula>
    </cfRule>
    <cfRule type="expression" dxfId="723" priority="628">
      <formula>L$2="Sat"</formula>
    </cfRule>
    <cfRule type="expression" dxfId="722" priority="631">
      <formula>L$2="Sun"</formula>
    </cfRule>
    <cfRule type="expression" dxfId="721" priority="627">
      <formula>L$2="Sun"</formula>
    </cfRule>
  </conditionalFormatting>
  <conditionalFormatting sqref="L8:L10">
    <cfRule type="expression" dxfId="720" priority="634">
      <formula>L$2="Sat"</formula>
    </cfRule>
    <cfRule type="expression" dxfId="719" priority="635">
      <formula>L$2="Sun"</formula>
    </cfRule>
  </conditionalFormatting>
  <conditionalFormatting sqref="L4:O6 L4:L22 O5:AI5">
    <cfRule type="expression" dxfId="718" priority="1429">
      <formula>L$2="Sun"</formula>
    </cfRule>
  </conditionalFormatting>
  <conditionalFormatting sqref="L4:O6 Q4:AF6 V4:V10 L4:L22 O5:AI5 AE6:AI6">
    <cfRule type="expression" dxfId="717" priority="1443">
      <formula>L$2="Sat"</formula>
    </cfRule>
  </conditionalFormatting>
  <conditionalFormatting sqref="L4:O6 Q4:AF6 V4:V10 AB4:AB11 L4:L22 O5:AI5 L7:AI7 H4:H22 H5:J6 AE6:AI6 I6:J15 G7:J7 H8:J8 T8:X8 Z8:AF8 M8:R8 N8:N9 R8:R10 U8:U10 AC9 G4:J4 E4:E14">
    <cfRule type="expression" dxfId="716" priority="1431">
      <formula>E$3="Sat"</formula>
    </cfRule>
    <cfRule type="expression" dxfId="715" priority="1430">
      <formula>E$2="Sat"</formula>
    </cfRule>
  </conditionalFormatting>
  <conditionalFormatting sqref="L4:O6 Q4:AF6 V4:V10 AB4:AB11 L4:L22 O5:AI5 AE6:AI6 L7:AI7 M8:R8 T8:X8 Z8:AF8 N8:N9 R8:R10 U8:U10 AC9 G4:J4 E4:E14 H4:H22 H5:J6 I6:J15 G7:J7 H8:J8">
    <cfRule type="expression" dxfId="714" priority="1539">
      <formula>E$2="Sun"</formula>
    </cfRule>
    <cfRule type="expression" dxfId="713" priority="1479">
      <formula>E$2="Sat"</formula>
    </cfRule>
    <cfRule type="expression" dxfId="712" priority="1477">
      <formula>E$3="Sun"</formula>
    </cfRule>
  </conditionalFormatting>
  <conditionalFormatting sqref="L4:O6 Q4:AF6 V4:V10 AB4:AB11 L4:L22 O5:AI5 AE6:AI6 L7:AI7 M8:R8 T8:X8 Z8:AF8 N8:N9 R8:R10 U8:U10 AC9">
    <cfRule type="expression" dxfId="711" priority="1502">
      <formula>L$2="Sun"</formula>
    </cfRule>
    <cfRule type="expression" dxfId="710" priority="1478">
      <formula>L$2="Sun"</formula>
    </cfRule>
  </conditionalFormatting>
  <conditionalFormatting sqref="L4:O6 Q4:AF6 V4:V10 AB4:AB11 L4:L22 O5:AI5 AE6:AI6 T7:AI7 T8:X8 Z8:AF8 U8:U10 AC9 M8:R8 N8:N9 R8:R10">
    <cfRule type="expression" dxfId="709" priority="1424">
      <formula>L$2="Sun"</formula>
    </cfRule>
  </conditionalFormatting>
  <conditionalFormatting sqref="L4:O6 Q4:AF6 V4:V10 AB4:AB11 O5:AI5 L4:L22 Z8:AF8 U8:U10 AC9 T7:AI7 AE6:AI6">
    <cfRule type="expression" dxfId="708" priority="1423">
      <formula>L$2="Sat"</formula>
    </cfRule>
  </conditionalFormatting>
  <conditionalFormatting sqref="L11:P11 H11:J11">
    <cfRule type="expression" dxfId="707" priority="1396">
      <formula>H$2="Sat"</formula>
    </cfRule>
  </conditionalFormatting>
  <conditionalFormatting sqref="L11:P11 T11:W11 H11:J11">
    <cfRule type="expression" dxfId="706" priority="1405">
      <formula>H$2="Sat"</formula>
    </cfRule>
  </conditionalFormatting>
  <conditionalFormatting sqref="L8:R9 R8:R10">
    <cfRule type="expression" dxfId="705" priority="632">
      <formula>L$2="Sat"</formula>
    </cfRule>
  </conditionalFormatting>
  <conditionalFormatting sqref="L11:R11 T11:X11 Z11:AC11">
    <cfRule type="expression" dxfId="704" priority="1401">
      <formula>L$2="Sun"</formula>
    </cfRule>
  </conditionalFormatting>
  <conditionalFormatting sqref="L11:R11 T11:X11 Z11:AE11 E23:AI23">
    <cfRule type="expression" dxfId="703" priority="1395">
      <formula>E$2="Sun"</formula>
    </cfRule>
    <cfRule type="expression" dxfId="702" priority="1394">
      <formula>E$2="Sat"</formula>
    </cfRule>
  </conditionalFormatting>
  <conditionalFormatting sqref="L7:AI7 M8:R8 N8:N9 V4:V10 AB4:AB11 L4:O6 Q4:AF6 L4:L22 O5:AI5 AE6:AI6 T8:X8 Z8:AF8 U8:U10 AC9">
    <cfRule type="expression" dxfId="701" priority="1454">
      <formula>L$2="Sat"</formula>
    </cfRule>
  </conditionalFormatting>
  <conditionalFormatting sqref="L7:AI7 M8:R8 R8:R10 N8:N9">
    <cfRule type="expression" dxfId="700" priority="1451">
      <formula>L$3="Sat"</formula>
    </cfRule>
  </conditionalFormatting>
  <conditionalFormatting sqref="M7:P8 N8:N9">
    <cfRule type="expression" dxfId="699" priority="1452">
      <formula>M$3="Sun"</formula>
    </cfRule>
  </conditionalFormatting>
  <conditionalFormatting sqref="N6">
    <cfRule type="expression" dxfId="698" priority="1409">
      <formula>N$2="Sat"</formula>
    </cfRule>
    <cfRule type="expression" dxfId="697" priority="1413">
      <formula>N$2="Sun"</formula>
    </cfRule>
    <cfRule type="expression" dxfId="696" priority="1412">
      <formula>N$2="Sat"</formula>
    </cfRule>
    <cfRule type="expression" dxfId="695" priority="1411">
      <formula>N$3="Sun"</formula>
    </cfRule>
    <cfRule type="expression" dxfId="694" priority="1410">
      <formula>N$3="Sat"</formula>
    </cfRule>
    <cfRule type="cellIs" dxfId="693" priority="1407" stopIfTrue="1" operator="equal">
      <formula>"A"</formula>
    </cfRule>
    <cfRule type="expression" dxfId="692" priority="1408">
      <formula>N$2="Sun"</formula>
    </cfRule>
  </conditionalFormatting>
  <conditionalFormatting sqref="N6:O6 Q6:AB6 Y4:Y6 AA4:AA6">
    <cfRule type="expression" dxfId="691" priority="1414">
      <formula>N$2="Sat"</formula>
    </cfRule>
  </conditionalFormatting>
  <conditionalFormatting sqref="O4">
    <cfRule type="expression" dxfId="690" priority="118">
      <formula>O$2="Sat"</formula>
    </cfRule>
    <cfRule type="expression" dxfId="689" priority="119">
      <formula>O$2="Sun"</formula>
    </cfRule>
    <cfRule type="expression" dxfId="688" priority="120">
      <formula>O$2="Sat"</formula>
    </cfRule>
    <cfRule type="expression" dxfId="687" priority="121">
      <formula>O$2="Sun"</formula>
    </cfRule>
  </conditionalFormatting>
  <conditionalFormatting sqref="P4:P6">
    <cfRule type="expression" dxfId="686" priority="399">
      <formula>P$2="Sat"</formula>
    </cfRule>
    <cfRule type="expression" dxfId="685" priority="390">
      <formula>P$2="Sun"</formula>
    </cfRule>
    <cfRule type="expression" dxfId="684" priority="391">
      <formula>P$2="Sat"</formula>
    </cfRule>
    <cfRule type="expression" dxfId="683" priority="384">
      <formula>P$3="Sat"</formula>
    </cfRule>
    <cfRule type="expression" dxfId="682" priority="396">
      <formula>P$3="Sat"</formula>
    </cfRule>
    <cfRule type="expression" dxfId="681" priority="397">
      <formula>P$3="Sun"</formula>
    </cfRule>
    <cfRule type="expression" dxfId="680" priority="394">
      <formula>P$3="Sun"</formula>
    </cfRule>
    <cfRule type="expression" dxfId="679" priority="395">
      <formula>P$2="Sat"</formula>
    </cfRule>
    <cfRule type="expression" dxfId="678" priority="402">
      <formula>P$2="Sun"</formula>
    </cfRule>
    <cfRule type="expression" dxfId="677" priority="401">
      <formula>P$2="Sat"</formula>
    </cfRule>
    <cfRule type="expression" dxfId="676" priority="400">
      <formula>P$2="Sun"</formula>
    </cfRule>
    <cfRule type="expression" dxfId="675" priority="393">
      <formula>P$3="Sat"</formula>
    </cfRule>
    <cfRule type="expression" dxfId="674" priority="374">
      <formula>P$2="Sat"</formula>
    </cfRule>
    <cfRule type="expression" dxfId="673" priority="375">
      <formula>P$2="Sun"</formula>
    </cfRule>
    <cfRule type="expression" dxfId="672" priority="398">
      <formula>P$2="Sun"</formula>
    </cfRule>
    <cfRule type="expression" dxfId="671" priority="377">
      <formula>P$3="Sat"</formula>
    </cfRule>
    <cfRule type="expression" dxfId="670" priority="378">
      <formula>P$3="Sun"</formula>
    </cfRule>
    <cfRule type="expression" dxfId="669" priority="379">
      <formula>P$2="Sun"</formula>
    </cfRule>
    <cfRule type="expression" dxfId="668" priority="380">
      <formula>P$3="Sat"</formula>
    </cfRule>
    <cfRule type="expression" dxfId="667" priority="381">
      <formula>P$3="Sun"</formula>
    </cfRule>
    <cfRule type="expression" dxfId="666" priority="382">
      <formula>P$2="Sun"</formula>
    </cfRule>
    <cfRule type="expression" dxfId="665" priority="383">
      <formula>P$2="Sat"</formula>
    </cfRule>
    <cfRule type="expression" dxfId="664" priority="376">
      <formula>P$2="Sat"</formula>
    </cfRule>
    <cfRule type="expression" dxfId="663" priority="385">
      <formula>P$3="Sun"</formula>
    </cfRule>
    <cfRule type="expression" dxfId="662" priority="386">
      <formula>P$2="Sun"</formula>
    </cfRule>
    <cfRule type="expression" dxfId="661" priority="387">
      <formula>P$2="Sat"</formula>
    </cfRule>
    <cfRule type="expression" dxfId="660" priority="388">
      <formula>P$3="Sat"</formula>
    </cfRule>
    <cfRule type="expression" dxfId="659" priority="389">
      <formula>P$3="Sun"</formula>
    </cfRule>
    <cfRule type="expression" dxfId="658" priority="392">
      <formula>P$2="Sun"</formula>
    </cfRule>
  </conditionalFormatting>
  <conditionalFormatting sqref="Q4:AF6 O5:AI5 L4:O6 V4:V10 AB4:AB11 L4:L22 AE6:AI6 L7:AI7 M8:R8 T8:X8 Z8:AF8 N8:N9 R8:R10 U8:U10 AC9">
    <cfRule type="expression" dxfId="657" priority="1538">
      <formula>L$2="Sat"</formula>
    </cfRule>
  </conditionalFormatting>
  <conditionalFormatting sqref="Q4:AF6 V4:V10 AB4:AB11 H5:J6 L6:M6 O6 AD6:AI6 I6:J15">
    <cfRule type="expression" dxfId="656" priority="1428">
      <formula>H$2="Sun"</formula>
    </cfRule>
  </conditionalFormatting>
  <conditionalFormatting sqref="R4:R6">
    <cfRule type="expression" dxfId="655" priority="537">
      <formula>R$2="Sat"</formula>
    </cfRule>
    <cfRule type="expression" dxfId="654" priority="538">
      <formula>R$3="Sat"</formula>
    </cfRule>
    <cfRule type="expression" dxfId="653" priority="536">
      <formula>R$3="Sun"</formula>
    </cfRule>
    <cfRule type="expression" dxfId="652" priority="529">
      <formula>R$2="Sat"</formula>
    </cfRule>
    <cfRule type="expression" dxfId="651" priority="527">
      <formula>R$2="Sat"</formula>
    </cfRule>
    <cfRule type="expression" dxfId="650" priority="528">
      <formula>R$2="Sun"</formula>
    </cfRule>
    <cfRule type="expression" dxfId="649" priority="530">
      <formula>R$3="Sun"</formula>
    </cfRule>
    <cfRule type="expression" dxfId="648" priority="531">
      <formula>R$2="Sat"</formula>
    </cfRule>
    <cfRule type="expression" dxfId="647" priority="532">
      <formula>R$3="Sat"</formula>
    </cfRule>
    <cfRule type="expression" dxfId="646" priority="534">
      <formula>R$2="Sun"</formula>
    </cfRule>
  </conditionalFormatting>
  <conditionalFormatting sqref="R10:R11 Q11:R11">
    <cfRule type="expression" dxfId="645" priority="1390">
      <formula>Q$2="Sat"</formula>
    </cfRule>
    <cfRule type="expression" dxfId="644" priority="1391">
      <formula>Q$2="Sun"</formula>
    </cfRule>
  </conditionalFormatting>
  <conditionalFormatting sqref="R7:AF7 Q7:R8 R8:R10">
    <cfRule type="expression" dxfId="643" priority="1449">
      <formula>Q$3="Sun"</formula>
    </cfRule>
    <cfRule type="expression" dxfId="642" priority="1450">
      <formula>Q$2="Sat"</formula>
    </cfRule>
  </conditionalFormatting>
  <conditionalFormatting sqref="S4">
    <cfRule type="expression" dxfId="641" priority="59">
      <formula>S$3="Sat"</formula>
    </cfRule>
    <cfRule type="expression" dxfId="640" priority="58">
      <formula>S$2="Sat"</formula>
    </cfRule>
    <cfRule type="expression" dxfId="639" priority="57">
      <formula>S$3="Sun"</formula>
    </cfRule>
    <cfRule type="expression" dxfId="638" priority="56">
      <formula>S$2="Sun"</formula>
    </cfRule>
    <cfRule type="expression" dxfId="637" priority="55">
      <formula>S$3="Sat"</formula>
    </cfRule>
    <cfRule type="expression" dxfId="636" priority="54">
      <formula>S$2="Sat"</formula>
    </cfRule>
    <cfRule type="expression" dxfId="635" priority="53">
      <formula>S$3="Sun"</formula>
    </cfRule>
    <cfRule type="expression" dxfId="634" priority="52">
      <formula>S$2="Sat"</formula>
    </cfRule>
    <cfRule type="expression" dxfId="633" priority="51">
      <formula>S$2="Sun"</formula>
    </cfRule>
    <cfRule type="expression" dxfId="632" priority="50">
      <formula>S$2="Sat"</formula>
    </cfRule>
  </conditionalFormatting>
  <conditionalFormatting sqref="S7:S11">
    <cfRule type="expression" dxfId="631" priority="571">
      <formula>S$3="Sun"</formula>
    </cfRule>
    <cfRule type="expression" dxfId="630" priority="570">
      <formula>S$3="Sat"</formula>
    </cfRule>
    <cfRule type="expression" dxfId="629" priority="576">
      <formula>S$2="Sun"</formula>
    </cfRule>
    <cfRule type="expression" dxfId="628" priority="568">
      <formula>S$2="Sun"</formula>
    </cfRule>
    <cfRule type="expression" dxfId="627" priority="567">
      <formula>S$2="Sat"</formula>
    </cfRule>
    <cfRule type="expression" dxfId="626" priority="545">
      <formula>S$2="Sat"</formula>
    </cfRule>
    <cfRule type="expression" dxfId="625" priority="546">
      <formula>S$2="Sun"</formula>
    </cfRule>
    <cfRule type="expression" dxfId="624" priority="547">
      <formula>S$2="Sat"</formula>
    </cfRule>
    <cfRule type="expression" dxfId="623" priority="548">
      <formula>S$2="Sun"</formula>
    </cfRule>
    <cfRule type="expression" dxfId="622" priority="549">
      <formula>S$2="Sat"</formula>
    </cfRule>
    <cfRule type="expression" dxfId="621" priority="550">
      <formula>S$2="Sun"</formula>
    </cfRule>
    <cfRule type="expression" dxfId="620" priority="552">
      <formula>S$2="Sat"</formula>
    </cfRule>
    <cfRule type="expression" dxfId="619" priority="553">
      <formula>S$3="Sat"</formula>
    </cfRule>
    <cfRule type="expression" dxfId="618" priority="554">
      <formula>S$3="Sun"</formula>
    </cfRule>
    <cfRule type="expression" dxfId="617" priority="556">
      <formula>S$3="Sat"</formula>
    </cfRule>
    <cfRule type="expression" dxfId="616" priority="557">
      <formula>S$3="Sun"</formula>
    </cfRule>
    <cfRule type="expression" dxfId="615" priority="558">
      <formula>S$2="Sun"</formula>
    </cfRule>
    <cfRule type="expression" dxfId="614" priority="559">
      <formula>S$2="Sat"</formula>
    </cfRule>
    <cfRule type="expression" dxfId="613" priority="560">
      <formula>S$3="Sat"</formula>
    </cfRule>
    <cfRule type="expression" dxfId="612" priority="566">
      <formula>S$2="Sun"</formula>
    </cfRule>
    <cfRule type="expression" dxfId="611" priority="561">
      <formula>S$3="Sun"</formula>
    </cfRule>
    <cfRule type="expression" dxfId="610" priority="565">
      <formula>S$3="Sun"</formula>
    </cfRule>
    <cfRule type="expression" dxfId="609" priority="564">
      <formula>S$3="Sat"</formula>
    </cfRule>
    <cfRule type="expression" dxfId="608" priority="555">
      <formula>S$2="Sun"</formula>
    </cfRule>
    <cfRule type="expression" dxfId="607" priority="563">
      <formula>S$2="Sat"</formula>
    </cfRule>
    <cfRule type="expression" dxfId="606" priority="562">
      <formula>S$2="Sun"</formula>
    </cfRule>
    <cfRule type="expression" dxfId="605" priority="569">
      <formula>S$2="Sat"</formula>
    </cfRule>
    <cfRule type="expression" dxfId="604" priority="574">
      <formula>S$2="Sun"</formula>
    </cfRule>
    <cfRule type="expression" dxfId="603" priority="573">
      <formula>S$2="Sat"</formula>
    </cfRule>
    <cfRule type="expression" dxfId="602" priority="575">
      <formula>S$2="Sat"</formula>
    </cfRule>
    <cfRule type="expression" dxfId="601" priority="572">
      <formula>S$2="Sun"</formula>
    </cfRule>
  </conditionalFormatting>
  <conditionalFormatting sqref="T9 AH7:AI7 AI8:AI11">
    <cfRule type="expression" dxfId="600" priority="913">
      <formula>T$2="Sun"</formula>
    </cfRule>
  </conditionalFormatting>
  <conditionalFormatting sqref="T9">
    <cfRule type="expression" dxfId="599" priority="912">
      <formula>T$2="Sat"</formula>
    </cfRule>
  </conditionalFormatting>
  <conditionalFormatting sqref="T8:X10">
    <cfRule type="expression" dxfId="598" priority="938">
      <formula>T$2="Sat"</formula>
    </cfRule>
  </conditionalFormatting>
  <conditionalFormatting sqref="W4:W6">
    <cfRule type="expression" dxfId="597" priority="1507">
      <formula>W$2="Sat"</formula>
    </cfRule>
    <cfRule type="expression" dxfId="596" priority="1508">
      <formula>W$3="Sat"</formula>
    </cfRule>
    <cfRule type="expression" dxfId="595" priority="1512">
      <formula>W$2="Sun"</formula>
    </cfRule>
    <cfRule type="expression" dxfId="594" priority="1513">
      <formula>W$2="Sat"</formula>
    </cfRule>
    <cfRule type="expression" dxfId="593" priority="1522">
      <formula>W$2="Sun"</formula>
    </cfRule>
    <cfRule type="expression" dxfId="592" priority="1523">
      <formula>W$3="Sun"</formula>
    </cfRule>
  </conditionalFormatting>
  <conditionalFormatting sqref="W8:W10 T9:X10">
    <cfRule type="expression" dxfId="591" priority="939">
      <formula>T$2="Sun"</formula>
    </cfRule>
  </conditionalFormatting>
  <conditionalFormatting sqref="W11:X11 Z11:AB11 AD11:AE11">
    <cfRule type="expression" dxfId="590" priority="1383">
      <formula>W$2="Sun"</formula>
    </cfRule>
  </conditionalFormatting>
  <conditionalFormatting sqref="W11:Y11">
    <cfRule type="expression" dxfId="589" priority="480">
      <formula>W$2="Sat"</formula>
    </cfRule>
  </conditionalFormatting>
  <conditionalFormatting sqref="W11:AB11">
    <cfRule type="expression" dxfId="588" priority="483">
      <formula>W$2="Sun"</formula>
    </cfRule>
  </conditionalFormatting>
  <conditionalFormatting sqref="X8 Z8:AF8 AB8:AB10 AC9 X7:AI7">
    <cfRule type="expression" dxfId="587" priority="1459">
      <formula>X$2="Sun"</formula>
    </cfRule>
    <cfRule type="expression" dxfId="586" priority="1458">
      <formula>X$3="Sun"</formula>
    </cfRule>
  </conditionalFormatting>
  <conditionalFormatting sqref="X8 Z8:AF8 AB8:AB10 AC9">
    <cfRule type="expression" dxfId="585" priority="1457">
      <formula>X$3="Sat"</formula>
    </cfRule>
  </conditionalFormatting>
  <conditionalFormatting sqref="X7:AI7 X8 Z8:AF8 AB8:AB10 AC9">
    <cfRule type="expression" dxfId="584" priority="1460">
      <formula>X$2="Sat"</formula>
    </cfRule>
  </conditionalFormatting>
  <conditionalFormatting sqref="Y4:Y6 AA4:AA6 N6:O6 Q6:AB6">
    <cfRule type="expression" dxfId="583" priority="1415">
      <formula>N$2="Sun"</formula>
    </cfRule>
  </conditionalFormatting>
  <conditionalFormatting sqref="Y8:Y10">
    <cfRule type="expression" dxfId="582" priority="490">
      <formula>Y$2="Sun"</formula>
    </cfRule>
    <cfRule type="expression" dxfId="581" priority="489">
      <formula>Y$2="Sat"</formula>
    </cfRule>
    <cfRule type="expression" dxfId="580" priority="487">
      <formula>Y$2="Sun"</formula>
    </cfRule>
    <cfRule type="expression" dxfId="579" priority="486">
      <formula>Y$2="Sat"</formula>
    </cfRule>
    <cfRule type="expression" dxfId="578" priority="485">
      <formula>Y$2="Sun"</formula>
    </cfRule>
    <cfRule type="expression" dxfId="577" priority="491">
      <formula>Y$2="Sat"</formula>
    </cfRule>
    <cfRule type="expression" dxfId="576" priority="502">
      <formula>Y$2="Sat"</formula>
    </cfRule>
    <cfRule type="expression" dxfId="575" priority="503">
      <formula>Y$3="Sat"</formula>
    </cfRule>
    <cfRule type="expression" dxfId="574" priority="504">
      <formula>Y$3="Sun"</formula>
    </cfRule>
    <cfRule type="expression" dxfId="573" priority="506">
      <formula>Y$2="Sat"</formula>
    </cfRule>
    <cfRule type="expression" dxfId="572" priority="505">
      <formula>Y$2="Sun"</formula>
    </cfRule>
    <cfRule type="expression" dxfId="571" priority="515">
      <formula>Y$3="Sat"</formula>
    </cfRule>
    <cfRule type="expression" dxfId="570" priority="507">
      <formula>Y$2="Sun"</formula>
    </cfRule>
    <cfRule type="expression" dxfId="569" priority="508">
      <formula>Y$2="Sat"</formula>
    </cfRule>
    <cfRule type="expression" dxfId="568" priority="509">
      <formula>Y$3="Sat"</formula>
    </cfRule>
    <cfRule type="expression" dxfId="567" priority="510">
      <formula>Y$3="Sun"</formula>
    </cfRule>
    <cfRule type="expression" dxfId="566" priority="511">
      <formula>Y$2="Sun"</formula>
    </cfRule>
    <cfRule type="expression" dxfId="565" priority="512">
      <formula>Y$2="Sat"</formula>
    </cfRule>
    <cfRule type="expression" dxfId="564" priority="516">
      <formula>Y$3="Sun"</formula>
    </cfRule>
    <cfRule type="expression" dxfId="563" priority="521">
      <formula>Y$2="Sun"</formula>
    </cfRule>
    <cfRule type="expression" dxfId="562" priority="517">
      <formula>Y$2="Sun"</formula>
    </cfRule>
    <cfRule type="expression" dxfId="561" priority="518">
      <formula>Y$2="Sat"</formula>
    </cfRule>
    <cfRule type="expression" dxfId="560" priority="519">
      <formula>Y$2="Sun"</formula>
    </cfRule>
    <cfRule type="expression" dxfId="559" priority="520">
      <formula>Y$2="Sat"</formula>
    </cfRule>
    <cfRule type="expression" dxfId="558" priority="499">
      <formula>Y$3="Sat"</formula>
    </cfRule>
    <cfRule type="expression" dxfId="557" priority="513">
      <formula>Y$2="Sun"</formula>
    </cfRule>
    <cfRule type="expression" dxfId="556" priority="514">
      <formula>Y$2="Sat"</formula>
    </cfRule>
    <cfRule type="expression" dxfId="555" priority="500">
      <formula>Y$3="Sun"</formula>
    </cfRule>
    <cfRule type="expression" dxfId="554" priority="501">
      <formula>Y$2="Sun"</formula>
    </cfRule>
    <cfRule type="expression" dxfId="553" priority="498">
      <formula>Y$2="Sat"</formula>
    </cfRule>
    <cfRule type="expression" dxfId="552" priority="497">
      <formula>Y$2="Sun"</formula>
    </cfRule>
    <cfRule type="expression" dxfId="551" priority="496">
      <formula>Y$3="Sun"</formula>
    </cfRule>
    <cfRule type="expression" dxfId="550" priority="495">
      <formula>Y$3="Sat"</formula>
    </cfRule>
    <cfRule type="expression" dxfId="549" priority="494">
      <formula>Y$2="Sun"</formula>
    </cfRule>
    <cfRule type="expression" dxfId="548" priority="493">
      <formula>Y$3="Sun"</formula>
    </cfRule>
    <cfRule type="expression" dxfId="547" priority="492">
      <formula>Y$3="Sat"</formula>
    </cfRule>
  </conditionalFormatting>
  <conditionalFormatting sqref="Y8:Y11">
    <cfRule type="expression" dxfId="546" priority="482">
      <formula>Y$2="Sat"</formula>
    </cfRule>
  </conditionalFormatting>
  <conditionalFormatting sqref="Y8:Y12 AA9:AA12 O10:O12 N12:AG13 AI12:AI13 Z13:AI13 N14:AI22">
    <cfRule type="expression" dxfId="545" priority="1347">
      <formula>N$2="Sat"</formula>
    </cfRule>
    <cfRule type="expression" dxfId="544" priority="1350">
      <formula>N$2="Sun"</formula>
    </cfRule>
    <cfRule type="expression" dxfId="543" priority="1349">
      <formula>N$2="Sat"</formula>
    </cfRule>
    <cfRule type="expression" dxfId="542" priority="1348">
      <formula>N$2="Sun"</formula>
    </cfRule>
  </conditionalFormatting>
  <conditionalFormatting sqref="Y11">
    <cfRule type="expression" dxfId="541" priority="472">
      <formula>Y$3="Sun"</formula>
    </cfRule>
    <cfRule type="expression" dxfId="540" priority="471">
      <formula>Y$3="Sat"</formula>
    </cfRule>
    <cfRule type="expression" dxfId="539" priority="470">
      <formula>Y$2="Sat"</formula>
    </cfRule>
    <cfRule type="expression" dxfId="538" priority="469">
      <formula>Y$2="Sun"</formula>
    </cfRule>
    <cfRule type="expression" dxfId="537" priority="468">
      <formula>Y$2="Sat"</formula>
    </cfRule>
    <cfRule type="expression" dxfId="536" priority="467">
      <formula>Y$2="Sun"</formula>
    </cfRule>
    <cfRule type="expression" dxfId="535" priority="466">
      <formula>Y$3="Sun"</formula>
    </cfRule>
    <cfRule type="expression" dxfId="534" priority="465">
      <formula>Y$3="Sat"</formula>
    </cfRule>
    <cfRule type="expression" dxfId="533" priority="464">
      <formula>Y$2="Sat"</formula>
    </cfRule>
    <cfRule type="expression" dxfId="532" priority="462">
      <formula>Y$3="Sun"</formula>
    </cfRule>
    <cfRule type="expression" dxfId="531" priority="461">
      <formula>Y$3="Sat"</formula>
    </cfRule>
    <cfRule type="expression" dxfId="530" priority="460">
      <formula>Y$2="Sat"</formula>
    </cfRule>
    <cfRule type="expression" dxfId="529" priority="459">
      <formula>Y$2="Sun"</formula>
    </cfRule>
    <cfRule type="expression" dxfId="528" priority="458">
      <formula>Y$3="Sun"</formula>
    </cfRule>
    <cfRule type="expression" dxfId="527" priority="457">
      <formula>Y$3="Sat"</formula>
    </cfRule>
    <cfRule type="expression" dxfId="526" priority="456">
      <formula>Y$2="Sun"</formula>
    </cfRule>
    <cfRule type="expression" dxfId="525" priority="455">
      <formula>Y$3="Sun"</formula>
    </cfRule>
    <cfRule type="expression" dxfId="524" priority="454">
      <formula>Y$3="Sat"</formula>
    </cfRule>
    <cfRule type="expression" dxfId="523" priority="453">
      <formula>Y$2="Sat"</formula>
    </cfRule>
    <cfRule type="expression" dxfId="522" priority="452">
      <formula>Y$2="Sun"</formula>
    </cfRule>
    <cfRule type="expression" dxfId="521" priority="451">
      <formula>Y$2="Sat"</formula>
    </cfRule>
    <cfRule type="expression" dxfId="520" priority="449">
      <formula>Y$2="Sun"</formula>
    </cfRule>
    <cfRule type="expression" dxfId="519" priority="448">
      <formula>Y$2="Sat"</formula>
    </cfRule>
    <cfRule type="expression" dxfId="518" priority="446">
      <formula>Y$2="Sat"</formula>
    </cfRule>
    <cfRule type="expression" dxfId="517" priority="447">
      <formula>Y$2="Sun"</formula>
    </cfRule>
    <cfRule type="expression" dxfId="516" priority="463">
      <formula>Y$2="Sun"</formula>
    </cfRule>
    <cfRule type="expression" dxfId="515" priority="481">
      <formula>Y$2="Sun"</formula>
    </cfRule>
    <cfRule type="expression" dxfId="514" priority="479">
      <formula>Y$2="Sun"</formula>
    </cfRule>
    <cfRule type="expression" dxfId="513" priority="478">
      <formula>Y$3="Sun"</formula>
    </cfRule>
    <cfRule type="expression" dxfId="512" priority="477">
      <formula>Y$3="Sat"</formula>
    </cfRule>
    <cfRule type="expression" dxfId="511" priority="476">
      <formula>Y$2="Sat"</formula>
    </cfRule>
    <cfRule type="expression" dxfId="510" priority="475">
      <formula>Y$2="Sun"</formula>
    </cfRule>
    <cfRule type="expression" dxfId="509" priority="474">
      <formula>Y$2="Sat"</formula>
    </cfRule>
    <cfRule type="expression" dxfId="508" priority="473">
      <formula>Y$2="Sun"</formula>
    </cfRule>
  </conditionalFormatting>
  <conditionalFormatting sqref="Z11:AB11 AD11:AE11 W11:X11">
    <cfRule type="expression" dxfId="507" priority="1382">
      <formula>W$2="Sat"</formula>
    </cfRule>
  </conditionalFormatting>
  <conditionalFormatting sqref="Z11:AB11 AD11:AE11">
    <cfRule type="expression" dxfId="506" priority="1381">
      <formula>Z$2="Sun"</formula>
    </cfRule>
    <cfRule type="expression" dxfId="505" priority="1380">
      <formula>Z$2="Sat"</formula>
    </cfRule>
    <cfRule type="expression" dxfId="504" priority="1379">
      <formula>Z$2="Sun"</formula>
    </cfRule>
  </conditionalFormatting>
  <conditionalFormatting sqref="Z4:AD4 AD4:AD6 AB4:AB11 Z5:AB5">
    <cfRule type="expression" dxfId="503" priority="1540">
      <formula>Z$2="Sat"</formula>
    </cfRule>
    <cfRule type="expression" dxfId="502" priority="1541">
      <formula>Z$2="Sun"</formula>
    </cfRule>
  </conditionalFormatting>
  <conditionalFormatting sqref="Z9:AE9 H9:J9 L9:R9 L9:L10 U9:X9">
    <cfRule type="expression" dxfId="501" priority="1351">
      <formula>H$2="Sat"</formula>
    </cfRule>
    <cfRule type="expression" dxfId="500" priority="1352">
      <formula>H$3="Sat"</formula>
    </cfRule>
  </conditionalFormatting>
  <conditionalFormatting sqref="Z11:AE11 N8:N13 L10:R11 T11:X11 J8:J10">
    <cfRule type="expression" dxfId="499" priority="1400">
      <formula>J$2="Sat"</formula>
    </cfRule>
  </conditionalFormatting>
  <conditionalFormatting sqref="Z9:AF9">
    <cfRule type="expression" dxfId="498" priority="1303">
      <formula>Z$2="Sun"</formula>
    </cfRule>
    <cfRule type="expression" dxfId="497" priority="1302">
      <formula>Z$2="Sat"</formula>
    </cfRule>
  </conditionalFormatting>
  <conditionalFormatting sqref="AA9:AA12 H4:H14 I6:J15 L12:AG13 L14:AI16 F17:AI23 Z13:AI13 R10:R11 P10 P11:R11">
    <cfRule type="expression" dxfId="496" priority="1346">
      <formula>F$2="Sun"</formula>
    </cfRule>
  </conditionalFormatting>
  <conditionalFormatting sqref="AB4:AB11 L7:AI7 H7:J8 M8:R8 T8:X8 Z8:AF8 N8:N9 R8:R10 U8:U10 H8:H12 AC9">
    <cfRule type="expression" dxfId="495" priority="1442">
      <formula>H$2="Sat"</formula>
    </cfRule>
  </conditionalFormatting>
  <conditionalFormatting sqref="AB4:AB11 L7:AI7 T8:X8 Z8:AF8 AC9 L4:L22 M8:R8 N8:N9 V4:V10 L4:O6 Q4:AF6 O5:AI5 AE6:AI6 U8:U10">
    <cfRule type="expression" dxfId="494" priority="1476">
      <formula>L$3="Sat"</formula>
    </cfRule>
  </conditionalFormatting>
  <conditionalFormatting sqref="AC4:AC6 T11">
    <cfRule type="expression" dxfId="493" priority="1387">
      <formula>T$2="Sun"</formula>
    </cfRule>
    <cfRule type="expression" dxfId="492" priority="1388">
      <formula>T$2="Sat"</formula>
    </cfRule>
    <cfRule type="expression" dxfId="491" priority="1386">
      <formula>T$2="Sat"</formula>
    </cfRule>
    <cfRule type="expression" dxfId="490" priority="1385">
      <formula>T$2="Sun"</formula>
    </cfRule>
    <cfRule type="expression" dxfId="489" priority="1384">
      <formula>T$2="Sat"</formula>
    </cfRule>
    <cfRule type="expression" dxfId="488" priority="1389">
      <formula>T$2="Sun"</formula>
    </cfRule>
  </conditionalFormatting>
  <conditionalFormatting sqref="AC4:AC6">
    <cfRule type="expression" dxfId="487" priority="25">
      <formula>AC$2="Sat"</formula>
    </cfRule>
    <cfRule type="expression" dxfId="486" priority="24">
      <formula>AC$2="Sun"</formula>
    </cfRule>
    <cfRule type="expression" dxfId="485" priority="45">
      <formula>AC$3="Sun"</formula>
    </cfRule>
    <cfRule type="expression" dxfId="484" priority="46">
      <formula>AC$2="Sat"</formula>
    </cfRule>
    <cfRule type="expression" dxfId="483" priority="47">
      <formula>AC$3="Sat"</formula>
    </cfRule>
    <cfRule type="expression" dxfId="482" priority="48">
      <formula>AC$3="Sun"</formula>
    </cfRule>
    <cfRule type="expression" dxfId="481" priority="49">
      <formula>AC$2="Sun"</formula>
    </cfRule>
    <cfRule type="expression" dxfId="480" priority="34">
      <formula>AC$3="Sun"</formula>
    </cfRule>
    <cfRule type="expression" dxfId="479" priority="37">
      <formula>AC$3="Sun"</formula>
    </cfRule>
    <cfRule type="expression" dxfId="478" priority="36">
      <formula>AC$3="Sat"</formula>
    </cfRule>
    <cfRule type="expression" dxfId="477" priority="35">
      <formula>AC$2="Sun"</formula>
    </cfRule>
    <cfRule type="expression" dxfId="476" priority="33">
      <formula>AC$3="Sat"</formula>
    </cfRule>
    <cfRule type="expression" dxfId="475" priority="32">
      <formula>AC$2="Sat"</formula>
    </cfRule>
    <cfRule type="expression" dxfId="474" priority="31">
      <formula>AC$2="Sun"</formula>
    </cfRule>
    <cfRule type="expression" dxfId="473" priority="29">
      <formula>AC$2="Sat"</formula>
    </cfRule>
    <cfRule type="expression" dxfId="472" priority="28">
      <formula>AC$2="Sun"</formula>
    </cfRule>
    <cfRule type="expression" dxfId="471" priority="27">
      <formula>AC$3="Sun"</formula>
    </cfRule>
    <cfRule type="expression" dxfId="470" priority="23">
      <formula>AC$2="Sat"</formula>
    </cfRule>
    <cfRule type="expression" dxfId="469" priority="43">
      <formula>AC$2="Sat"</formula>
    </cfRule>
    <cfRule type="expression" dxfId="468" priority="42">
      <formula>AC$2="Sun"</formula>
    </cfRule>
    <cfRule type="expression" dxfId="467" priority="41">
      <formula>AC$3="Sun"</formula>
    </cfRule>
    <cfRule type="expression" dxfId="466" priority="26">
      <formula>AC$3="Sat"</formula>
    </cfRule>
    <cfRule type="expression" dxfId="465" priority="44">
      <formula>AC$3="Sat"</formula>
    </cfRule>
    <cfRule type="expression" dxfId="464" priority="40">
      <formula>AC$3="Sat"</formula>
    </cfRule>
    <cfRule type="expression" dxfId="463" priority="39">
      <formula>AC$2="Sat"</formula>
    </cfRule>
    <cfRule type="expression" dxfId="462" priority="38">
      <formula>AC$2="Sun"</formula>
    </cfRule>
  </conditionalFormatting>
  <conditionalFormatting sqref="AC11">
    <cfRule type="expression" dxfId="461" priority="1398">
      <formula>AC$2="Sat"</formula>
    </cfRule>
    <cfRule type="expression" dxfId="460" priority="1399">
      <formula>AC$2="Sun"</formula>
    </cfRule>
  </conditionalFormatting>
  <conditionalFormatting sqref="AC8:AD10 F17:AI23 Y8:Y12 O10:O12 F12 H12:J12 L12:AG13 AI12:AI13 Z13:AI13 F13:J16 L14:AI16 U15:U19">
    <cfRule type="expression" dxfId="459" priority="1579">
      <formula>F$2="Sun"</formula>
    </cfRule>
  </conditionalFormatting>
  <conditionalFormatting sqref="AC8:AD10 H8:H12 L10:R10 Z10:AF10 N10:N13 J8:J10 W8:W10 AF8:AF10 H10:J10 T10:X10">
    <cfRule type="expression" dxfId="458" priority="1584">
      <formula>H$3="Sat"</formula>
    </cfRule>
  </conditionalFormatting>
  <conditionalFormatting sqref="AC8:AD10 H8:H12 Z10:AF10 W8:W10 T10:X10">
    <cfRule type="expression" dxfId="457" priority="1580">
      <formula>H$2="Sat"</formula>
    </cfRule>
  </conditionalFormatting>
  <conditionalFormatting sqref="AD11">
    <cfRule type="expression" dxfId="456" priority="1404">
      <formula>AD$2="Sun"</formula>
    </cfRule>
    <cfRule type="expression" dxfId="455" priority="1376">
      <formula>AD$2="Sun"</formula>
    </cfRule>
  </conditionalFormatting>
  <conditionalFormatting sqref="AD11:AE11 Z11:AB11">
    <cfRule type="expression" dxfId="454" priority="1378">
      <formula>Z$2="Sat"</formula>
    </cfRule>
  </conditionalFormatting>
  <conditionalFormatting sqref="AD11:AE11">
    <cfRule type="expression" dxfId="453" priority="1403">
      <formula>AD$2="Sat"</formula>
    </cfRule>
  </conditionalFormatting>
  <conditionalFormatting sqref="AE11">
    <cfRule type="expression" dxfId="452" priority="1402">
      <formula>AE$2="Sun"</formula>
    </cfRule>
  </conditionalFormatting>
  <conditionalFormatting sqref="AF4:AF6 AD6:AI6 Y4:Y6 AA4:AA6 L6:M6 O6 Q6:AB6 I6:J15 H6:J6">
    <cfRule type="expression" dxfId="451" priority="1427">
      <formula>H$2="Sat"</formula>
    </cfRule>
  </conditionalFormatting>
  <conditionalFormatting sqref="AF4:AF6 AD6:AI6">
    <cfRule type="expression" dxfId="450" priority="1426">
      <formula>AD$2="Sun"</formula>
    </cfRule>
    <cfRule type="expression" dxfId="449" priority="1425">
      <formula>AD$2="Sat"</formula>
    </cfRule>
  </conditionalFormatting>
  <conditionalFormatting sqref="AF4:AF6">
    <cfRule type="expression" dxfId="448" priority="435">
      <formula>AF$3="Sun"</formula>
    </cfRule>
    <cfRule type="expression" dxfId="447" priority="431">
      <formula>AF$2="Sun"</formula>
    </cfRule>
    <cfRule type="expression" dxfId="446" priority="432">
      <formula>AF$2="Sat"</formula>
    </cfRule>
    <cfRule type="expression" dxfId="445" priority="433">
      <formula>AF$2="Sun"</formula>
    </cfRule>
    <cfRule type="expression" dxfId="444" priority="434">
      <formula>AF$3="Sat"</formula>
    </cfRule>
    <cfRule type="expression" dxfId="443" priority="444">
      <formula>AF$2="Sun"</formula>
    </cfRule>
    <cfRule type="expression" dxfId="442" priority="436">
      <formula>AF$2="Sun"</formula>
    </cfRule>
    <cfRule type="expression" dxfId="441" priority="437">
      <formula>AF$2="Sat"</formula>
    </cfRule>
    <cfRule type="expression" dxfId="440" priority="438">
      <formula>AF$2="Sun"</formula>
    </cfRule>
    <cfRule type="expression" dxfId="439" priority="441">
      <formula>AF$2="Sat"</formula>
    </cfRule>
    <cfRule type="expression" dxfId="438" priority="439">
      <formula>AF$3="Sun"</formula>
    </cfRule>
    <cfRule type="expression" dxfId="437" priority="445">
      <formula>AF$2="Sat"</formula>
    </cfRule>
    <cfRule type="expression" dxfId="436" priority="443">
      <formula>AF$3="Sun"</formula>
    </cfRule>
    <cfRule type="expression" dxfId="435" priority="442">
      <formula>AF$3="Sat"</formula>
    </cfRule>
    <cfRule type="expression" dxfId="434" priority="430">
      <formula>AF$2="Sat"</formula>
    </cfRule>
  </conditionalFormatting>
  <conditionalFormatting sqref="AF7">
    <cfRule type="expression" dxfId="433" priority="1323">
      <formula>AF$3="Sun"</formula>
    </cfRule>
    <cfRule type="expression" dxfId="432" priority="1322">
      <formula>AF$3="Sat"</formula>
    </cfRule>
    <cfRule type="expression" dxfId="431" priority="1321">
      <formula>AF$2="Sun"</formula>
    </cfRule>
    <cfRule type="expression" dxfId="430" priority="1320">
      <formula>AF$2="Sat"</formula>
    </cfRule>
    <cfRule type="expression" dxfId="429" priority="1319">
      <formula>AF$2="Sun"</formula>
    </cfRule>
    <cfRule type="expression" dxfId="428" priority="1328">
      <formula>AF$2="Sat"</formula>
    </cfRule>
    <cfRule type="expression" dxfId="427" priority="1331">
      <formula>AF$2="Sun"</formula>
    </cfRule>
    <cfRule type="expression" dxfId="426" priority="1330">
      <formula>AF$3="Sun"</formula>
    </cfRule>
    <cfRule type="expression" dxfId="425" priority="1329">
      <formula>AF$3="Sat"</formula>
    </cfRule>
    <cfRule type="expression" dxfId="424" priority="1327">
      <formula>AF$3="Sun"</formula>
    </cfRule>
    <cfRule type="expression" dxfId="423" priority="1326">
      <formula>AF$2="Sun"</formula>
    </cfRule>
    <cfRule type="expression" dxfId="422" priority="1325">
      <formula>AF$2="Sat"</formula>
    </cfRule>
    <cfRule type="expression" dxfId="421" priority="1324">
      <formula>AF$2="Sun"</formula>
    </cfRule>
  </conditionalFormatting>
  <conditionalFormatting sqref="AF7:AF8">
    <cfRule type="expression" dxfId="420" priority="1318">
      <formula>AF$2="Sat"</formula>
    </cfRule>
  </conditionalFormatting>
  <conditionalFormatting sqref="AF8">
    <cfRule type="expression" dxfId="419" priority="1308">
      <formula>AF$3="Sat"</formula>
    </cfRule>
    <cfRule type="expression" dxfId="418" priority="1307">
      <formula>AF$2="Sun"</formula>
    </cfRule>
    <cfRule type="expression" dxfId="417" priority="1306">
      <formula>AF$2="Sat"</formula>
    </cfRule>
    <cfRule type="expression" dxfId="416" priority="1317">
      <formula>AF$2="Sun"</formula>
    </cfRule>
    <cfRule type="expression" dxfId="415" priority="1315">
      <formula>AF$3="Sat"</formula>
    </cfRule>
    <cfRule type="expression" dxfId="414" priority="1314">
      <formula>AF$2="Sat"</formula>
    </cfRule>
    <cfRule type="expression" dxfId="413" priority="1313">
      <formula>AF$3="Sun"</formula>
    </cfRule>
    <cfRule type="expression" dxfId="412" priority="1316">
      <formula>AF$3="Sun"</formula>
    </cfRule>
    <cfRule type="expression" dxfId="411" priority="1312">
      <formula>AF$2="Sun"</formula>
    </cfRule>
    <cfRule type="expression" dxfId="410" priority="1311">
      <formula>AF$2="Sat"</formula>
    </cfRule>
    <cfRule type="expression" dxfId="409" priority="1310">
      <formula>AF$2="Sun"</formula>
    </cfRule>
    <cfRule type="expression" dxfId="408" priority="1309">
      <formula>AF$3="Sun"</formula>
    </cfRule>
  </conditionalFormatting>
  <conditionalFormatting sqref="AF8:AF9">
    <cfRule type="expression" dxfId="407" priority="1305">
      <formula>AF$2="Sun"</formula>
    </cfRule>
    <cfRule type="expression" dxfId="406" priority="1304">
      <formula>AF$2="Sat"</formula>
    </cfRule>
  </conditionalFormatting>
  <conditionalFormatting sqref="AF8:AF10">
    <cfRule type="expression" dxfId="405" priority="1181">
      <formula>AF$2="Sun"</formula>
    </cfRule>
    <cfRule type="expression" dxfId="404" priority="1180">
      <formula>AF$2="Sat"</formula>
    </cfRule>
    <cfRule type="expression" dxfId="403" priority="1179">
      <formula>AF$2="Sun"</formula>
    </cfRule>
    <cfRule type="expression" dxfId="402" priority="1178">
      <formula>AF$3="Sun"</formula>
    </cfRule>
    <cfRule type="expression" dxfId="401" priority="1177">
      <formula>AF$3="Sat"</formula>
    </cfRule>
    <cfRule type="expression" dxfId="400" priority="1186">
      <formula>AF$2="Sun"</formula>
    </cfRule>
    <cfRule type="expression" dxfId="399" priority="1187">
      <formula>AF$2="Sat"</formula>
    </cfRule>
    <cfRule type="expression" dxfId="398" priority="1185">
      <formula>AF$3="Sun"</formula>
    </cfRule>
    <cfRule type="expression" dxfId="397" priority="1201">
      <formula>AF$3="Sat"</formula>
    </cfRule>
    <cfRule type="expression" dxfId="396" priority="1200">
      <formula>AF$2="Sat"</formula>
    </cfRule>
    <cfRule type="expression" dxfId="395" priority="1199">
      <formula>AF$2="Sun"</formula>
    </cfRule>
    <cfRule type="expression" dxfId="394" priority="1198">
      <formula>AF$3="Sun"</formula>
    </cfRule>
    <cfRule type="expression" dxfId="393" priority="1197">
      <formula>AF$3="Sat"</formula>
    </cfRule>
    <cfRule type="expression" dxfId="392" priority="1176">
      <formula>AF$2="Sun"</formula>
    </cfRule>
    <cfRule type="expression" dxfId="391" priority="1196">
      <formula>AF$2="Sat"</formula>
    </cfRule>
    <cfRule type="expression" dxfId="390" priority="1195">
      <formula>AF$2="Sun"</formula>
    </cfRule>
    <cfRule type="expression" dxfId="389" priority="1194">
      <formula>AF$3="Sun"</formula>
    </cfRule>
    <cfRule type="expression" dxfId="388" priority="1193">
      <formula>AF$3="Sat"</formula>
    </cfRule>
    <cfRule type="expression" dxfId="387" priority="1192">
      <formula>AF$2="Sun"</formula>
    </cfRule>
    <cfRule type="expression" dxfId="386" priority="1191">
      <formula>AF$3="Sun"</formula>
    </cfRule>
    <cfRule type="expression" dxfId="385" priority="1190">
      <formula>AF$3="Sat"</formula>
    </cfRule>
    <cfRule type="expression" dxfId="384" priority="1189">
      <formula>AF$2="Sat"</formula>
    </cfRule>
    <cfRule type="expression" dxfId="383" priority="1188">
      <formula>AF$2="Sun"</formula>
    </cfRule>
    <cfRule type="expression" dxfId="382" priority="1202">
      <formula>AF$3="Sun"</formula>
    </cfRule>
    <cfRule type="expression" dxfId="381" priority="1203">
      <formula>AF$2="Sun"</formula>
    </cfRule>
    <cfRule type="expression" dxfId="380" priority="1204">
      <formula>AF$2="Sat"</formula>
    </cfRule>
    <cfRule type="expression" dxfId="379" priority="1205">
      <formula>AF$2="Sun"</formula>
    </cfRule>
    <cfRule type="expression" dxfId="378" priority="1206">
      <formula>AF$2="Sat"</formula>
    </cfRule>
    <cfRule type="expression" dxfId="377" priority="1208">
      <formula>AF$3="Sun"</formula>
    </cfRule>
    <cfRule type="expression" dxfId="376" priority="1209">
      <formula>AF$2="Sun"</formula>
    </cfRule>
    <cfRule type="expression" dxfId="375" priority="1210">
      <formula>AF$2="Sat"</formula>
    </cfRule>
    <cfRule type="expression" dxfId="374" priority="1211">
      <formula>AF$3="Sat"</formula>
    </cfRule>
    <cfRule type="expression" dxfId="373" priority="1212">
      <formula>AF$3="Sun"</formula>
    </cfRule>
    <cfRule type="expression" dxfId="372" priority="1213">
      <formula>AF$2="Sun"</formula>
    </cfRule>
    <cfRule type="expression" dxfId="371" priority="1214">
      <formula>AF$2="Sat"</formula>
    </cfRule>
    <cfRule type="expression" dxfId="370" priority="1215">
      <formula>AF$2="Sun"</formula>
    </cfRule>
    <cfRule type="expression" dxfId="369" priority="1216">
      <formula>AF$2="Sat"</formula>
    </cfRule>
    <cfRule type="expression" dxfId="368" priority="1217">
      <formula>AF$2="Sun"</formula>
    </cfRule>
    <cfRule type="expression" dxfId="367" priority="1184">
      <formula>AF$3="Sat"</formula>
    </cfRule>
    <cfRule type="expression" dxfId="366" priority="1183">
      <formula>AF$2="Sat"</formula>
    </cfRule>
    <cfRule type="expression" dxfId="365" priority="1182">
      <formula>AF$3="Sun"</formula>
    </cfRule>
    <cfRule type="expression" dxfId="364" priority="1207">
      <formula>AF$3="Sat"</formula>
    </cfRule>
  </conditionalFormatting>
  <conditionalFormatting sqref="AF8:AF11">
    <cfRule type="expression" dxfId="363" priority="1121">
      <formula>AF$2="Sat"</formula>
    </cfRule>
  </conditionalFormatting>
  <conditionalFormatting sqref="AF9">
    <cfRule type="expression" dxfId="362" priority="1266">
      <formula>AF$3="Sun"</formula>
    </cfRule>
    <cfRule type="expression" dxfId="361" priority="1267">
      <formula>AF$2="Sun"</formula>
    </cfRule>
    <cfRule type="expression" dxfId="360" priority="1268">
      <formula>AF$2="Sat"</formula>
    </cfRule>
    <cfRule type="expression" dxfId="359" priority="1269">
      <formula>AF$2="Sun"</formula>
    </cfRule>
    <cfRule type="expression" dxfId="358" priority="1270">
      <formula>AF$3="Sun"</formula>
    </cfRule>
    <cfRule type="expression" dxfId="357" priority="1271">
      <formula>AF$2="Sat"</formula>
    </cfRule>
    <cfRule type="expression" dxfId="356" priority="1272">
      <formula>AF$3="Sat"</formula>
    </cfRule>
    <cfRule type="expression" dxfId="355" priority="1273">
      <formula>AF$3="Sun"</formula>
    </cfRule>
    <cfRule type="expression" dxfId="354" priority="1274">
      <formula>AF$2="Sun"</formula>
    </cfRule>
    <cfRule type="expression" dxfId="353" priority="1275">
      <formula>AF$2="Sat"</formula>
    </cfRule>
    <cfRule type="expression" dxfId="352" priority="1277">
      <formula>AF$2="Sat"</formula>
    </cfRule>
    <cfRule type="expression" dxfId="351" priority="1278">
      <formula>AF$3="Sat"</formula>
    </cfRule>
    <cfRule type="expression" dxfId="350" priority="1279">
      <formula>AF$3="Sun"</formula>
    </cfRule>
    <cfRule type="expression" dxfId="349" priority="1280">
      <formula>AF$2="Sun"</formula>
    </cfRule>
    <cfRule type="expression" dxfId="348" priority="1281">
      <formula>AF$3="Sat"</formula>
    </cfRule>
    <cfRule type="expression" dxfId="347" priority="1287">
      <formula>AF$2="Sun"</formula>
    </cfRule>
    <cfRule type="expression" dxfId="346" priority="1282">
      <formula>AF$3="Sun"</formula>
    </cfRule>
    <cfRule type="expression" dxfId="345" priority="1283">
      <formula>AF$2="Sun"</formula>
    </cfRule>
    <cfRule type="expression" dxfId="344" priority="1284">
      <formula>AF$2="Sat"</formula>
    </cfRule>
    <cfRule type="expression" dxfId="343" priority="1285">
      <formula>AF$3="Sat"</formula>
    </cfRule>
    <cfRule type="expression" dxfId="342" priority="1301">
      <formula>AF$2="Sun"</formula>
    </cfRule>
    <cfRule type="expression" dxfId="341" priority="1300">
      <formula>AF$3="Sun"</formula>
    </cfRule>
    <cfRule type="expression" dxfId="340" priority="1299">
      <formula>AF$3="Sat"</formula>
    </cfRule>
    <cfRule type="expression" dxfId="339" priority="1298">
      <formula>AF$2="Sat"</formula>
    </cfRule>
    <cfRule type="expression" dxfId="338" priority="1296">
      <formula>AF$3="Sun"</formula>
    </cfRule>
    <cfRule type="expression" dxfId="337" priority="1295">
      <formula>AF$3="Sat"</formula>
    </cfRule>
    <cfRule type="expression" dxfId="336" priority="1294">
      <formula>AF$2="Sat"</formula>
    </cfRule>
    <cfRule type="expression" dxfId="335" priority="1293">
      <formula>AF$2="Sun"</formula>
    </cfRule>
    <cfRule type="expression" dxfId="334" priority="1292">
      <formula>AF$2="Sat"</formula>
    </cfRule>
    <cfRule type="expression" dxfId="333" priority="1291">
      <formula>AF$2="Sun"</formula>
    </cfRule>
    <cfRule type="expression" dxfId="332" priority="1290">
      <formula>AF$3="Sun"</formula>
    </cfRule>
    <cfRule type="expression" dxfId="331" priority="1289">
      <formula>AF$3="Sat"</formula>
    </cfRule>
    <cfRule type="expression" dxfId="330" priority="1286">
      <formula>AF$3="Sun"</formula>
    </cfRule>
    <cfRule type="expression" dxfId="329" priority="1276">
      <formula>AF$2="Sun"</formula>
    </cfRule>
    <cfRule type="expression" dxfId="328" priority="1288">
      <formula>AF$2="Sat"</formula>
    </cfRule>
    <cfRule type="expression" dxfId="327" priority="1297">
      <formula>AF$2="Sun"</formula>
    </cfRule>
    <cfRule type="expression" dxfId="326" priority="1263">
      <formula>AF$2="Sat"</formula>
    </cfRule>
    <cfRule type="expression" dxfId="325" priority="1264">
      <formula>AF$2="Sun"</formula>
    </cfRule>
    <cfRule type="expression" dxfId="324" priority="1265">
      <formula>AF$3="Sat"</formula>
    </cfRule>
  </conditionalFormatting>
  <conditionalFormatting sqref="AF9:AF10">
    <cfRule type="expression" dxfId="323" priority="1261">
      <formula>AF$2="Sat"</formula>
    </cfRule>
    <cfRule type="expression" dxfId="322" priority="1262">
      <formula>AF$2="Sun"</formula>
    </cfRule>
  </conditionalFormatting>
  <conditionalFormatting sqref="AF10">
    <cfRule type="expression" dxfId="321" priority="1240">
      <formula>AF$2="Sun"</formula>
    </cfRule>
    <cfRule type="expression" dxfId="320" priority="1239">
      <formula>AF$3="Sun"</formula>
    </cfRule>
    <cfRule type="expression" dxfId="319" priority="1238">
      <formula>AF$3="Sat"</formula>
    </cfRule>
    <cfRule type="expression" dxfId="318" priority="1237">
      <formula>AF$2="Sun"</formula>
    </cfRule>
    <cfRule type="expression" dxfId="317" priority="1236">
      <formula>AF$3="Sun"</formula>
    </cfRule>
    <cfRule type="expression" dxfId="316" priority="1234">
      <formula>AF$2="Sat"</formula>
    </cfRule>
    <cfRule type="expression" dxfId="315" priority="1233">
      <formula>AF$2="Sun"</formula>
    </cfRule>
    <cfRule type="expression" dxfId="314" priority="1232">
      <formula>AF$2="Sat"</formula>
    </cfRule>
    <cfRule type="expression" dxfId="313" priority="1231">
      <formula>AF$2="Sun"</formula>
    </cfRule>
    <cfRule type="expression" dxfId="312" priority="1229">
      <formula>AF$3="Sat"</formula>
    </cfRule>
    <cfRule type="expression" dxfId="311" priority="1228">
      <formula>AF$2="Sat"</formula>
    </cfRule>
    <cfRule type="expression" dxfId="310" priority="1230">
      <formula>AF$3="Sun"</formula>
    </cfRule>
    <cfRule type="expression" dxfId="309" priority="1227">
      <formula>AF$3="Sun"</formula>
    </cfRule>
    <cfRule type="expression" dxfId="308" priority="1226">
      <formula>AF$2="Sun"</formula>
    </cfRule>
    <cfRule type="expression" dxfId="307" priority="1257">
      <formula>AF$3="Sun"</formula>
    </cfRule>
    <cfRule type="expression" dxfId="306" priority="1258">
      <formula>AF$2="Sun"</formula>
    </cfRule>
    <cfRule type="expression" dxfId="305" priority="1254">
      <formula>AF$2="Sun"</formula>
    </cfRule>
    <cfRule type="expression" dxfId="304" priority="1260">
      <formula>AF$2="Sun"</formula>
    </cfRule>
    <cfRule type="expression" dxfId="303" priority="1253">
      <formula>AF$3="Sun"</formula>
    </cfRule>
    <cfRule type="expression" dxfId="302" priority="1235">
      <formula>AF$3="Sat"</formula>
    </cfRule>
    <cfRule type="expression" dxfId="301" priority="1242">
      <formula>AF$3="Sat"</formula>
    </cfRule>
    <cfRule type="expression" dxfId="300" priority="1255">
      <formula>AF$2="Sat"</formula>
    </cfRule>
    <cfRule type="expression" dxfId="299" priority="1241">
      <formula>AF$2="Sat"</formula>
    </cfRule>
    <cfRule type="expression" dxfId="298" priority="1256">
      <formula>AF$3="Sat"</formula>
    </cfRule>
    <cfRule type="expression" dxfId="297" priority="1252">
      <formula>AF$3="Sat"</formula>
    </cfRule>
    <cfRule type="expression" dxfId="296" priority="1251">
      <formula>AF$2="Sat"</formula>
    </cfRule>
    <cfRule type="expression" dxfId="295" priority="1250">
      <formula>AF$2="Sun"</formula>
    </cfRule>
    <cfRule type="expression" dxfId="294" priority="1249">
      <formula>AF$2="Sat"</formula>
    </cfRule>
    <cfRule type="expression" dxfId="293" priority="1248">
      <formula>AF$2="Sun"</formula>
    </cfRule>
    <cfRule type="expression" dxfId="292" priority="1247">
      <formula>AF$3="Sun"</formula>
    </cfRule>
    <cfRule type="expression" dxfId="291" priority="1220">
      <formula>AF$2="Sat"</formula>
    </cfRule>
    <cfRule type="expression" dxfId="290" priority="1221">
      <formula>AF$2="Sun"</formula>
    </cfRule>
    <cfRule type="expression" dxfId="289" priority="1222">
      <formula>AF$3="Sat"</formula>
    </cfRule>
    <cfRule type="expression" dxfId="288" priority="1223">
      <formula>AF$3="Sun"</formula>
    </cfRule>
    <cfRule type="expression" dxfId="287" priority="1224">
      <formula>AF$2="Sun"</formula>
    </cfRule>
    <cfRule type="expression" dxfId="286" priority="1225">
      <formula>AF$2="Sat"</formula>
    </cfRule>
    <cfRule type="expression" dxfId="285" priority="1246">
      <formula>AF$3="Sat"</formula>
    </cfRule>
    <cfRule type="expression" dxfId="284" priority="1259">
      <formula>AF$2="Sat"</formula>
    </cfRule>
    <cfRule type="expression" dxfId="283" priority="1245">
      <formula>AF$2="Sat"</formula>
    </cfRule>
    <cfRule type="expression" dxfId="282" priority="1244">
      <formula>AF$2="Sun"</formula>
    </cfRule>
    <cfRule type="expression" dxfId="281" priority="1243">
      <formula>AF$3="Sun"</formula>
    </cfRule>
  </conditionalFormatting>
  <conditionalFormatting sqref="AF11">
    <cfRule type="expression" dxfId="280" priority="1068">
      <formula>AF$3="Sun"</formula>
    </cfRule>
    <cfRule type="expression" dxfId="279" priority="1069">
      <formula>AF$2="Sun"</formula>
    </cfRule>
    <cfRule type="expression" dxfId="278" priority="1070">
      <formula>AF$2="Sat"</formula>
    </cfRule>
    <cfRule type="expression" dxfId="277" priority="1071">
      <formula>AF$2="Sun"</formula>
    </cfRule>
    <cfRule type="expression" dxfId="276" priority="1072">
      <formula>AF$3="Sun"</formula>
    </cfRule>
    <cfRule type="expression" dxfId="275" priority="1073">
      <formula>AF$2="Sat"</formula>
    </cfRule>
    <cfRule type="expression" dxfId="274" priority="1074">
      <formula>AF$3="Sat"</formula>
    </cfRule>
    <cfRule type="expression" dxfId="273" priority="1075">
      <formula>AF$3="Sun"</formula>
    </cfRule>
    <cfRule type="expression" dxfId="272" priority="1076">
      <formula>AF$2="Sun"</formula>
    </cfRule>
    <cfRule type="expression" dxfId="271" priority="1077">
      <formula>AF$2="Sat"</formula>
    </cfRule>
    <cfRule type="expression" dxfId="270" priority="1078">
      <formula>AF$2="Sun"</formula>
    </cfRule>
    <cfRule type="expression" dxfId="269" priority="1080">
      <formula>AF$3="Sat"</formula>
    </cfRule>
    <cfRule type="expression" dxfId="268" priority="1081">
      <formula>AF$3="Sun"</formula>
    </cfRule>
    <cfRule type="expression" dxfId="267" priority="1082">
      <formula>AF$2="Sun"</formula>
    </cfRule>
    <cfRule type="expression" dxfId="266" priority="1083">
      <formula>AF$3="Sat"</formula>
    </cfRule>
    <cfRule type="expression" dxfId="265" priority="1084">
      <formula>AF$3="Sun"</formula>
    </cfRule>
    <cfRule type="expression" dxfId="264" priority="1085">
      <formula>AF$2="Sun"</formula>
    </cfRule>
    <cfRule type="expression" dxfId="263" priority="1086">
      <formula>AF$2="Sat"</formula>
    </cfRule>
    <cfRule type="expression" dxfId="262" priority="1087">
      <formula>AF$3="Sat"</formula>
    </cfRule>
    <cfRule type="expression" dxfId="261" priority="1088">
      <formula>AF$3="Sun"</formula>
    </cfRule>
    <cfRule type="expression" dxfId="260" priority="1089">
      <formula>AF$2="Sun"</formula>
    </cfRule>
    <cfRule type="expression" dxfId="259" priority="1090">
      <formula>AF$2="Sat"</formula>
    </cfRule>
    <cfRule type="expression" dxfId="258" priority="1091">
      <formula>AF$3="Sat"</formula>
    </cfRule>
    <cfRule type="expression" dxfId="257" priority="1092">
      <formula>AF$3="Sun"</formula>
    </cfRule>
    <cfRule type="expression" dxfId="256" priority="1093">
      <formula>AF$2="Sun"</formula>
    </cfRule>
    <cfRule type="expression" dxfId="255" priority="1094">
      <formula>AF$2="Sat"</formula>
    </cfRule>
    <cfRule type="expression" dxfId="254" priority="1095">
      <formula>AF$2="Sun"</formula>
    </cfRule>
    <cfRule type="expression" dxfId="253" priority="1096">
      <formula>AF$2="Sat"</formula>
    </cfRule>
    <cfRule type="expression" dxfId="252" priority="1097">
      <formula>AF$3="Sat"</formula>
    </cfRule>
    <cfRule type="expression" dxfId="251" priority="1098">
      <formula>AF$3="Sun"</formula>
    </cfRule>
    <cfRule type="expression" dxfId="250" priority="1099">
      <formula>AF$2="Sun"</formula>
    </cfRule>
    <cfRule type="expression" dxfId="249" priority="1100">
      <formula>AF$2="Sat"</formula>
    </cfRule>
    <cfRule type="expression" dxfId="248" priority="1101">
      <formula>AF$3="Sat"</formula>
    </cfRule>
    <cfRule type="expression" dxfId="247" priority="1102">
      <formula>AF$3="Sun"</formula>
    </cfRule>
    <cfRule type="expression" dxfId="246" priority="1103">
      <formula>AF$2="Sun"</formula>
    </cfRule>
    <cfRule type="expression" dxfId="245" priority="1104">
      <formula>AF$2="Sat"</formula>
    </cfRule>
    <cfRule type="expression" dxfId="244" priority="1105">
      <formula>AF$2="Sun"</formula>
    </cfRule>
    <cfRule type="expression" dxfId="243" priority="1106">
      <formula>AF$2="Sat"</formula>
    </cfRule>
    <cfRule type="expression" dxfId="242" priority="1107">
      <formula>AF$2="Sun"</formula>
    </cfRule>
    <cfRule type="expression" dxfId="241" priority="1108">
      <formula>AF$2="Sat"</formula>
    </cfRule>
    <cfRule type="expression" dxfId="240" priority="1109">
      <formula>AF$2="Sun"</formula>
    </cfRule>
    <cfRule type="expression" dxfId="239" priority="1110">
      <formula>AF$2="Sat"</formula>
    </cfRule>
    <cfRule type="expression" dxfId="238" priority="1111">
      <formula>AF$3="Sat"</formula>
    </cfRule>
    <cfRule type="expression" dxfId="237" priority="1112">
      <formula>AF$3="Sun"</formula>
    </cfRule>
    <cfRule type="expression" dxfId="236" priority="1113">
      <formula>AF$2="Sun"</formula>
    </cfRule>
    <cfRule type="expression" dxfId="235" priority="1114">
      <formula>AF$3="Sat"</formula>
    </cfRule>
    <cfRule type="expression" dxfId="234" priority="1115">
      <formula>AF$3="Sun"</formula>
    </cfRule>
    <cfRule type="expression" dxfId="233" priority="1116">
      <formula>AF$2="Sun"</formula>
    </cfRule>
    <cfRule type="expression" dxfId="232" priority="1117">
      <formula>AF$2="Sat"</formula>
    </cfRule>
    <cfRule type="expression" dxfId="231" priority="1118">
      <formula>AF$3="Sat"</formula>
    </cfRule>
    <cfRule type="expression" dxfId="230" priority="1119">
      <formula>AF$3="Sun"</formula>
    </cfRule>
    <cfRule type="expression" dxfId="229" priority="1122">
      <formula>AF$3="Sat"</formula>
    </cfRule>
    <cfRule type="expression" dxfId="228" priority="1123">
      <formula>AF$3="Sun"</formula>
    </cfRule>
    <cfRule type="expression" dxfId="227" priority="1125">
      <formula>AF$3="Sat"</formula>
    </cfRule>
    <cfRule type="expression" dxfId="226" priority="1126">
      <formula>AF$3="Sun"</formula>
    </cfRule>
    <cfRule type="expression" dxfId="225" priority="1120">
      <formula>AF$2="Sun"</formula>
    </cfRule>
    <cfRule type="expression" dxfId="224" priority="1064">
      <formula>AF$2="Sun"</formula>
    </cfRule>
    <cfRule type="expression" dxfId="223" priority="320">
      <formula>AF$3="Sun"</formula>
    </cfRule>
    <cfRule type="expression" dxfId="222" priority="319">
      <formula>AF$3="Sat"</formula>
    </cfRule>
    <cfRule type="expression" dxfId="221" priority="318">
      <formula>AF$3="Sun"</formula>
    </cfRule>
    <cfRule type="expression" dxfId="220" priority="317">
      <formula>AF$3="Sat"</formula>
    </cfRule>
    <cfRule type="expression" dxfId="219" priority="316">
      <formula>AF$2="Sat"</formula>
    </cfRule>
    <cfRule type="expression" dxfId="218" priority="315">
      <formula>AF$2="Sun"</formula>
    </cfRule>
    <cfRule type="expression" dxfId="217" priority="314">
      <formula>AF$3="Sun"</formula>
    </cfRule>
    <cfRule type="expression" dxfId="216" priority="313">
      <formula>AF$3="Sat"</formula>
    </cfRule>
    <cfRule type="expression" dxfId="215" priority="312">
      <formula>AF$2="Sat"</formula>
    </cfRule>
    <cfRule type="expression" dxfId="214" priority="311">
      <formula>AF$2="Sun"</formula>
    </cfRule>
    <cfRule type="expression" dxfId="213" priority="310">
      <formula>AF$3="Sun"</formula>
    </cfRule>
    <cfRule type="expression" dxfId="212" priority="309">
      <formula>AF$3="Sat"</formula>
    </cfRule>
    <cfRule type="expression" dxfId="211" priority="308">
      <formula>AF$3="Sun"</formula>
    </cfRule>
    <cfRule type="expression" dxfId="210" priority="307">
      <formula>AF$2="Sun"</formula>
    </cfRule>
    <cfRule type="expression" dxfId="209" priority="306">
      <formula>AF$2="Sat"</formula>
    </cfRule>
    <cfRule type="expression" dxfId="208" priority="305">
      <formula>AF$3="Sat"</formula>
    </cfRule>
    <cfRule type="expression" dxfId="207" priority="304">
      <formula>AF$2="Sun"</formula>
    </cfRule>
    <cfRule type="expression" dxfId="206" priority="303">
      <formula>AF$2="Sat"</formula>
    </cfRule>
    <cfRule type="expression" dxfId="205" priority="302">
      <formula>AF$2="Sun"</formula>
    </cfRule>
    <cfRule type="expression" dxfId="204" priority="301">
      <formula>AF$2="Sat"</formula>
    </cfRule>
    <cfRule type="expression" dxfId="203" priority="300">
      <formula>AF$2="Sun"</formula>
    </cfRule>
    <cfRule type="expression" dxfId="202" priority="1079">
      <formula>AF$2="Sat"</formula>
    </cfRule>
    <cfRule type="expression" dxfId="201" priority="1063">
      <formula>AF$2="Sat"</formula>
    </cfRule>
    <cfRule type="expression" dxfId="200" priority="1065">
      <formula>AF$2="Sat"</formula>
    </cfRule>
    <cfRule type="expression" dxfId="199" priority="1066">
      <formula>AF$2="Sun"</formula>
    </cfRule>
    <cfRule type="expression" dxfId="198" priority="1067">
      <formula>AF$3="Sat"</formula>
    </cfRule>
  </conditionalFormatting>
  <conditionalFormatting sqref="AG4:AG14 L7:AI7 AI8:AI11">
    <cfRule type="expression" dxfId="197" priority="877">
      <formula>L$2="Sat"</formula>
    </cfRule>
  </conditionalFormatting>
  <conditionalFormatting sqref="AG4:AG14">
    <cfRule type="expression" dxfId="196" priority="871">
      <formula>AG$2="Sat"</formula>
    </cfRule>
    <cfRule type="expression" dxfId="195" priority="858">
      <formula>AG$3="Sat"</formula>
    </cfRule>
    <cfRule type="expression" dxfId="194" priority="875">
      <formula>AG$2="Sat"</formula>
    </cfRule>
    <cfRule type="expression" dxfId="193" priority="874">
      <formula>AG$2="Sun"</formula>
    </cfRule>
    <cfRule type="expression" dxfId="192" priority="873">
      <formula>AG$3="Sun"</formula>
    </cfRule>
    <cfRule type="expression" dxfId="191" priority="872">
      <formula>AG$3="Sat"</formula>
    </cfRule>
    <cfRule type="expression" dxfId="190" priority="864">
      <formula>AG$2="Sun"</formula>
    </cfRule>
    <cfRule type="expression" dxfId="189" priority="870">
      <formula>AG$2="Sun"</formula>
    </cfRule>
    <cfRule type="expression" dxfId="188" priority="869">
      <formula>AG$2="Sat"</formula>
    </cfRule>
    <cfRule type="expression" dxfId="187" priority="868">
      <formula>AG$2="Sun"</formula>
    </cfRule>
    <cfRule type="expression" dxfId="186" priority="867">
      <formula>AG$3="Sun"</formula>
    </cfRule>
    <cfRule type="expression" dxfId="185" priority="866">
      <formula>AG$3="Sat"</formula>
    </cfRule>
    <cfRule type="expression" dxfId="184" priority="865">
      <formula>AG$2="Sat"</formula>
    </cfRule>
    <cfRule type="expression" dxfId="183" priority="876">
      <formula>AG$2="Sun"</formula>
    </cfRule>
    <cfRule type="expression" dxfId="182" priority="863">
      <formula>AG$3="Sun"</formula>
    </cfRule>
    <cfRule type="expression" dxfId="181" priority="862">
      <formula>AG$3="Sat"</formula>
    </cfRule>
    <cfRule type="expression" dxfId="180" priority="861">
      <formula>AG$2="Sat"</formula>
    </cfRule>
    <cfRule type="expression" dxfId="179" priority="860">
      <formula>AG$2="Sun"</formula>
    </cfRule>
    <cfRule type="expression" dxfId="178" priority="859">
      <formula>AG$3="Sun"</formula>
    </cfRule>
    <cfRule type="expression" dxfId="177" priority="857">
      <formula>AG$2="Sun"</formula>
    </cfRule>
    <cfRule type="expression" dxfId="176" priority="856">
      <formula>AG$3="Sun"</formula>
    </cfRule>
    <cfRule type="expression" dxfId="175" priority="855">
      <formula>AG$3="Sat"</formula>
    </cfRule>
    <cfRule type="expression" dxfId="174" priority="854">
      <formula>AG$2="Sat"</formula>
    </cfRule>
    <cfRule type="expression" dxfId="173" priority="878">
      <formula>AG$2="Sun"</formula>
    </cfRule>
  </conditionalFormatting>
  <conditionalFormatting sqref="AG6:AH6">
    <cfRule type="expression" dxfId="172" priority="820">
      <formula>AG$2="Sun"</formula>
    </cfRule>
    <cfRule type="expression" dxfId="171" priority="831">
      <formula>AG$3="Sun"</formula>
    </cfRule>
    <cfRule type="expression" dxfId="170" priority="823">
      <formula>AG$2="Sat"</formula>
    </cfRule>
    <cfRule type="expression" dxfId="169" priority="848">
      <formula>AG$2="Sun"</formula>
    </cfRule>
    <cfRule type="expression" dxfId="168" priority="847">
      <formula>AG$2="Sat"</formula>
    </cfRule>
    <cfRule type="expression" dxfId="167" priority="846">
      <formula>AG$2="Sun"</formula>
    </cfRule>
    <cfRule type="expression" dxfId="166" priority="845">
      <formula>AG$3="Sun"</formula>
    </cfRule>
    <cfRule type="expression" dxfId="165" priority="844">
      <formula>AG$3="Sat"</formula>
    </cfRule>
    <cfRule type="expression" dxfId="164" priority="843">
      <formula>AG$2="Sat"</formula>
    </cfRule>
    <cfRule type="expression" dxfId="163" priority="842">
      <formula>AG$2="Sun"</formula>
    </cfRule>
    <cfRule type="expression" dxfId="162" priority="841">
      <formula>AG$2="Sat"</formula>
    </cfRule>
    <cfRule type="expression" dxfId="161" priority="840">
      <formula>AG$2="Sun"</formula>
    </cfRule>
    <cfRule type="expression" dxfId="160" priority="839">
      <formula>AG$3="Sun"</formula>
    </cfRule>
    <cfRule type="expression" dxfId="159" priority="838">
      <formula>AG$3="Sat"</formula>
    </cfRule>
    <cfRule type="expression" dxfId="158" priority="837">
      <formula>AG$2="Sat"</formula>
    </cfRule>
    <cfRule type="expression" dxfId="157" priority="836">
      <formula>AG$2="Sun"</formula>
    </cfRule>
    <cfRule type="expression" dxfId="156" priority="835">
      <formula>AG$3="Sun"</formula>
    </cfRule>
    <cfRule type="expression" dxfId="155" priority="834">
      <formula>AG$3="Sat"</formula>
    </cfRule>
    <cfRule type="expression" dxfId="154" priority="833">
      <formula>AG$2="Sat"</formula>
    </cfRule>
    <cfRule type="expression" dxfId="153" priority="832">
      <formula>AG$2="Sun"</formula>
    </cfRule>
    <cfRule type="expression" dxfId="152" priority="830">
      <formula>AG$3="Sat"</formula>
    </cfRule>
    <cfRule type="expression" dxfId="151" priority="827">
      <formula>AG$3="Sat"</formula>
    </cfRule>
    <cfRule type="expression" dxfId="150" priority="829">
      <formula>AG$2="Sun"</formula>
    </cfRule>
    <cfRule type="expression" dxfId="149" priority="824">
      <formula>AG$2="Sun"</formula>
    </cfRule>
    <cfRule type="expression" dxfId="148" priority="828">
      <formula>AG$3="Sun"</formula>
    </cfRule>
    <cfRule type="expression" dxfId="147" priority="826">
      <formula>AG$2="Sat"</formula>
    </cfRule>
    <cfRule type="expression" dxfId="146" priority="819">
      <formula>AG$2="Sat"</formula>
    </cfRule>
    <cfRule type="expression" dxfId="145" priority="822">
      <formula>AG$2="Sun"</formula>
    </cfRule>
    <cfRule type="expression" dxfId="144" priority="821">
      <formula>AG$2="Sat"</formula>
    </cfRule>
  </conditionalFormatting>
  <conditionalFormatting sqref="AG4:AI5 AH4:AI6 AG4:AG14">
    <cfRule type="expression" dxfId="143" priority="817">
      <formula>AG$2="Sat"</formula>
    </cfRule>
    <cfRule type="expression" dxfId="142" priority="818">
      <formula>AG$2="Sun"</formula>
    </cfRule>
  </conditionalFormatting>
  <conditionalFormatting sqref="AG6:AI6">
    <cfRule type="expression" dxfId="141" priority="849">
      <formula>AG$2="Sat"</formula>
    </cfRule>
    <cfRule type="expression" dxfId="140" priority="850">
      <formula>AG$2="Sun"</formula>
    </cfRule>
  </conditionalFormatting>
  <conditionalFormatting sqref="AH6">
    <cfRule type="expression" dxfId="139" priority="22">
      <formula>AH$2="Sun"</formula>
    </cfRule>
  </conditionalFormatting>
  <conditionalFormatting sqref="AH8:AH13">
    <cfRule type="expression" dxfId="138" priority="292">
      <formula>AH$3="Sun"</formula>
    </cfRule>
    <cfRule type="expression" dxfId="137" priority="291">
      <formula>AH$3="Sat"</formula>
    </cfRule>
    <cfRule type="expression" dxfId="136" priority="290">
      <formula>AH$2="Sat"</formula>
    </cfRule>
    <cfRule type="expression" dxfId="135" priority="289">
      <formula>AH$2="Sun"</formula>
    </cfRule>
    <cfRule type="expression" dxfId="134" priority="288">
      <formula>AH$2="Sat"</formula>
    </cfRule>
    <cfRule type="expression" dxfId="133" priority="287">
      <formula>AH$2="Sun"</formula>
    </cfRule>
    <cfRule type="expression" dxfId="132" priority="286">
      <formula>AH$3="Sun"</formula>
    </cfRule>
    <cfRule type="expression" dxfId="131" priority="285">
      <formula>AH$3="Sat"</formula>
    </cfRule>
    <cfRule type="expression" dxfId="130" priority="284">
      <formula>AH$2="Sat"</formula>
    </cfRule>
    <cfRule type="expression" dxfId="129" priority="283">
      <formula>AH$2="Sun"</formula>
    </cfRule>
    <cfRule type="expression" dxfId="128" priority="282">
      <formula>AH$3="Sun"</formula>
    </cfRule>
    <cfRule type="expression" dxfId="127" priority="281">
      <formula>AH$3="Sat"</formula>
    </cfRule>
    <cfRule type="expression" dxfId="126" priority="280">
      <formula>AH$2="Sat"</formula>
    </cfRule>
    <cfRule type="expression" dxfId="125" priority="279">
      <formula>AH$2="Sun"</formula>
    </cfRule>
    <cfRule type="expression" dxfId="124" priority="278">
      <formula>AH$3="Sun"</formula>
    </cfRule>
    <cfRule type="expression" dxfId="123" priority="277">
      <formula>AH$3="Sat"</formula>
    </cfRule>
    <cfRule type="expression" dxfId="122" priority="276">
      <formula>AH$2="Sun"</formula>
    </cfRule>
    <cfRule type="expression" dxfId="121" priority="275">
      <formula>AH$3="Sun"</formula>
    </cfRule>
    <cfRule type="expression" dxfId="120" priority="274">
      <formula>AH$3="Sat"</formula>
    </cfRule>
    <cfRule type="expression" dxfId="119" priority="273">
      <formula>AH$2="Sat"</formula>
    </cfRule>
    <cfRule type="expression" dxfId="118" priority="272">
      <formula>AH$2="Sun"</formula>
    </cfRule>
    <cfRule type="expression" dxfId="117" priority="271">
      <formula>AH$2="Sat"</formula>
    </cfRule>
    <cfRule type="expression" dxfId="116" priority="270">
      <formula>AH$2="Sun"</formula>
    </cfRule>
    <cfRule type="expression" dxfId="115" priority="269">
      <formula>AH$2="Sat"</formula>
    </cfRule>
    <cfRule type="expression" dxfId="114" priority="268">
      <formula>AH$2="Sun"</formula>
    </cfRule>
    <cfRule type="expression" dxfId="113" priority="267">
      <formula>AH$2="Sat"</formula>
    </cfRule>
    <cfRule type="expression" dxfId="112" priority="266">
      <formula>AH$2="Sun"</formula>
    </cfRule>
    <cfRule type="expression" dxfId="111" priority="265">
      <formula>AH$2="Sat"</formula>
    </cfRule>
    <cfRule type="expression" dxfId="110" priority="264">
      <formula>AH$2="Sun"</formula>
    </cfRule>
    <cfRule type="expression" dxfId="109" priority="263">
      <formula>AH$2="Sat"</formula>
    </cfRule>
    <cfRule type="expression" dxfId="108" priority="261">
      <formula>AH$3="Sun"</formula>
    </cfRule>
    <cfRule type="expression" dxfId="107" priority="260">
      <formula>AH$3="Sat"</formula>
    </cfRule>
    <cfRule type="expression" dxfId="106" priority="259">
      <formula>AH$2="Sat"</formula>
    </cfRule>
    <cfRule type="expression" dxfId="105" priority="258">
      <formula>AH$2="Sun"</formula>
    </cfRule>
    <cfRule type="expression" dxfId="104" priority="257">
      <formula>AH$2="Sat"</formula>
    </cfRule>
    <cfRule type="expression" dxfId="103" priority="256">
      <formula>AH$2="Sun"</formula>
    </cfRule>
    <cfRule type="expression" dxfId="102" priority="255">
      <formula>AH$3="Sun"</formula>
    </cfRule>
    <cfRule type="expression" dxfId="101" priority="254">
      <formula>AH$3="Sat"</formula>
    </cfRule>
    <cfRule type="expression" dxfId="100" priority="253">
      <formula>AH$2="Sat"</formula>
    </cfRule>
    <cfRule type="expression" dxfId="99" priority="252">
      <formula>AH$2="Sun"</formula>
    </cfRule>
    <cfRule type="expression" dxfId="98" priority="298">
      <formula>AH$2="Sat"</formula>
    </cfRule>
    <cfRule type="expression" dxfId="97" priority="250">
      <formula>AH$3="Sat"</formula>
    </cfRule>
    <cfRule type="expression" dxfId="96" priority="249">
      <formula>AH$2="Sat"</formula>
    </cfRule>
    <cfRule type="expression" dxfId="95" priority="248">
      <formula>AH$2="Sun"</formula>
    </cfRule>
    <cfRule type="expression" dxfId="94" priority="247">
      <formula>AH$3="Sun"</formula>
    </cfRule>
    <cfRule type="expression" dxfId="93" priority="246">
      <formula>AH$3="Sat"</formula>
    </cfRule>
    <cfRule type="expression" dxfId="92" priority="245">
      <formula>AH$2="Sun"</formula>
    </cfRule>
    <cfRule type="expression" dxfId="91" priority="244">
      <formula>AH$3="Sun"</formula>
    </cfRule>
    <cfRule type="expression" dxfId="90" priority="243">
      <formula>AH$3="Sat"</formula>
    </cfRule>
    <cfRule type="expression" dxfId="89" priority="242">
      <formula>AH$2="Sat"</formula>
    </cfRule>
    <cfRule type="expression" dxfId="88" priority="241">
      <formula>AH$2="Sun"</formula>
    </cfRule>
    <cfRule type="expression" dxfId="87" priority="240">
      <formula>AH$2="Sat"</formula>
    </cfRule>
    <cfRule type="expression" dxfId="86" priority="239">
      <formula>AH$2="Sun"</formula>
    </cfRule>
    <cfRule type="expression" dxfId="85" priority="238">
      <formula>AH$2="Sat"</formula>
    </cfRule>
    <cfRule type="expression" dxfId="84" priority="237">
      <formula>AH$2="Sun"</formula>
    </cfRule>
    <cfRule type="expression" dxfId="83" priority="236">
      <formula>AH$2="Sat"</formula>
    </cfRule>
    <cfRule type="expression" dxfId="82" priority="235">
      <formula>AH$2="Sun"</formula>
    </cfRule>
    <cfRule type="expression" dxfId="81" priority="234">
      <formula>AH$2="Sat"</formula>
    </cfRule>
    <cfRule type="expression" dxfId="80" priority="233">
      <formula>AH$2="Sun"</formula>
    </cfRule>
    <cfRule type="expression" dxfId="79" priority="232">
      <formula>AH$2="Sat"</formula>
    </cfRule>
    <cfRule type="expression" dxfId="78" priority="231">
      <formula>AH$2="Sun"</formula>
    </cfRule>
    <cfRule type="expression" dxfId="77" priority="230">
      <formula>AH$3="Sun"</formula>
    </cfRule>
    <cfRule type="expression" dxfId="76" priority="229">
      <formula>AH$3="Sat"</formula>
    </cfRule>
    <cfRule type="expression" dxfId="75" priority="228">
      <formula>AH$2="Sat"</formula>
    </cfRule>
    <cfRule type="expression" dxfId="74" priority="227">
      <formula>AH$2="Sun"</formula>
    </cfRule>
    <cfRule type="expression" dxfId="73" priority="226">
      <formula>AH$2="Sat"</formula>
    </cfRule>
    <cfRule type="expression" dxfId="72" priority="225">
      <formula>AH$2="Sun"</formula>
    </cfRule>
    <cfRule type="expression" dxfId="71" priority="224">
      <formula>AH$3="Sun"</formula>
    </cfRule>
    <cfRule type="expression" dxfId="70" priority="223">
      <formula>AH$3="Sat"</formula>
    </cfRule>
    <cfRule type="expression" dxfId="69" priority="222">
      <formula>AH$2="Sat"</formula>
    </cfRule>
    <cfRule type="expression" dxfId="68" priority="221">
      <formula>AH$2="Sun"</formula>
    </cfRule>
    <cfRule type="expression" dxfId="67" priority="220">
      <formula>AH$3="Sun"</formula>
    </cfRule>
    <cfRule type="expression" dxfId="66" priority="219">
      <formula>AH$3="Sat"</formula>
    </cfRule>
    <cfRule type="expression" dxfId="65" priority="218">
      <formula>AH$2="Sat"</formula>
    </cfRule>
    <cfRule type="expression" dxfId="64" priority="217">
      <formula>AH$2="Sun"</formula>
    </cfRule>
    <cfRule type="expression" dxfId="63" priority="216">
      <formula>AH$3="Sun"</formula>
    </cfRule>
    <cfRule type="expression" dxfId="62" priority="215">
      <formula>AH$3="Sat"</formula>
    </cfRule>
    <cfRule type="expression" dxfId="61" priority="214">
      <formula>AH$2="Sun"</formula>
    </cfRule>
    <cfRule type="expression" dxfId="60" priority="213">
      <formula>AH$3="Sun"</formula>
    </cfRule>
    <cfRule type="expression" dxfId="59" priority="212">
      <formula>AH$3="Sat"</formula>
    </cfRule>
    <cfRule type="expression" dxfId="58" priority="211">
      <formula>AH$2="Sat"</formula>
    </cfRule>
    <cfRule type="expression" dxfId="57" priority="210">
      <formula>AH$2="Sun"</formula>
    </cfRule>
    <cfRule type="expression" dxfId="56" priority="262">
      <formula>AH$2="Sun"</formula>
    </cfRule>
    <cfRule type="expression" dxfId="55" priority="251">
      <formula>AH$3="Sun"</formula>
    </cfRule>
    <cfRule type="expression" dxfId="54" priority="299">
      <formula>AH$2="Sun"</formula>
    </cfRule>
    <cfRule type="expression" dxfId="53" priority="297">
      <formula>AH$2="Sun"</formula>
    </cfRule>
    <cfRule type="expression" dxfId="52" priority="296">
      <formula>AH$2="Sat"</formula>
    </cfRule>
    <cfRule type="expression" dxfId="51" priority="295">
      <formula>AH$2="Sun"</formula>
    </cfRule>
    <cfRule type="expression" dxfId="50" priority="294">
      <formula>AH$2="Sat"</formula>
    </cfRule>
    <cfRule type="expression" dxfId="49" priority="293">
      <formula>AH$2="Sun"</formula>
    </cfRule>
    <cfRule type="expression" dxfId="48" priority="209">
      <formula>AH$2="Sat"</formula>
    </cfRule>
  </conditionalFormatting>
  <conditionalFormatting sqref="AH4:AI5 AI4:AI6 AH4:AH7">
    <cfRule type="expression" dxfId="47" priority="809">
      <formula>AH$2="Sat"</formula>
    </cfRule>
    <cfRule type="expression" dxfId="46" priority="808">
      <formula>AH$2="Sun"</formula>
    </cfRule>
    <cfRule type="expression" dxfId="45" priority="807">
      <formula>AH$3="Sun"</formula>
    </cfRule>
    <cfRule type="expression" dxfId="44" priority="806">
      <formula>AH$3="Sat"</formula>
    </cfRule>
    <cfRule type="expression" dxfId="43" priority="805">
      <formula>AH$2="Sat"</formula>
    </cfRule>
    <cfRule type="expression" dxfId="42" priority="804">
      <formula>AH$2="Sun"</formula>
    </cfRule>
    <cfRule type="expression" dxfId="41" priority="803">
      <formula>AH$3="Sun"</formula>
    </cfRule>
    <cfRule type="expression" dxfId="40" priority="802">
      <formula>AH$3="Sat"</formula>
    </cfRule>
    <cfRule type="expression" dxfId="39" priority="801">
      <formula>AH$2="Sat"</formula>
    </cfRule>
    <cfRule type="expression" dxfId="38" priority="800">
      <formula>AH$2="Sun"</formula>
    </cfRule>
    <cfRule type="expression" dxfId="37" priority="799">
      <formula>AH$3="Sun"</formula>
    </cfRule>
    <cfRule type="expression" dxfId="36" priority="798">
      <formula>AH$3="Sat"</formula>
    </cfRule>
    <cfRule type="expression" dxfId="35" priority="797">
      <formula>AH$2="Sun"</formula>
    </cfRule>
    <cfRule type="expression" dxfId="34" priority="796">
      <formula>AH$3="Sun"</formula>
    </cfRule>
    <cfRule type="expression" dxfId="33" priority="795">
      <formula>AH$3="Sat"</formula>
    </cfRule>
    <cfRule type="expression" dxfId="32" priority="794">
      <formula>AH$2="Sat"</formula>
    </cfRule>
    <cfRule type="expression" dxfId="31" priority="792">
      <formula>AH$2="Sun"</formula>
    </cfRule>
    <cfRule type="expression" dxfId="30" priority="810">
      <formula>AH$2="Sun"</formula>
    </cfRule>
    <cfRule type="expression" dxfId="29" priority="814">
      <formula>AH$2="Sun"</formula>
    </cfRule>
    <cfRule type="expression" dxfId="28" priority="815">
      <formula>AH$2="Sat"</formula>
    </cfRule>
    <cfRule type="expression" dxfId="27" priority="813">
      <formula>AH$3="Sun"</formula>
    </cfRule>
    <cfRule type="expression" dxfId="26" priority="812">
      <formula>AH$3="Sat"</formula>
    </cfRule>
    <cfRule type="expression" dxfId="25" priority="811">
      <formula>AH$2="Sat"</formula>
    </cfRule>
    <cfRule type="expression" dxfId="24" priority="816">
      <formula>AH$2="Sun"</formula>
    </cfRule>
  </conditionalFormatting>
  <conditionalFormatting sqref="AH4:AI6">
    <cfRule type="expression" dxfId="23" priority="791">
      <formula>AH$2="Sat"</formula>
    </cfRule>
  </conditionalFormatting>
  <conditionalFormatting sqref="AH7:AI7 AI8:AI11 T9">
    <cfRule type="expression" dxfId="22" priority="916">
      <formula>T$3="Sat"</formula>
    </cfRule>
    <cfRule type="expression" dxfId="21" priority="918">
      <formula>T$2="Sun"</formula>
    </cfRule>
    <cfRule type="expression" dxfId="20" priority="919">
      <formula>T$3="Sat"</formula>
    </cfRule>
    <cfRule type="expression" dxfId="19" priority="920">
      <formula>T$3="Sun"</formula>
    </cfRule>
    <cfRule type="expression" dxfId="18" priority="921">
      <formula>T$2="Sun"</formula>
    </cfRule>
    <cfRule type="expression" dxfId="17" priority="928">
      <formula>T$3="Sun"</formula>
    </cfRule>
    <cfRule type="expression" dxfId="16" priority="929">
      <formula>T$2="Sun"</formula>
    </cfRule>
    <cfRule type="expression" dxfId="15" priority="930">
      <formula>T$2="Sat"</formula>
    </cfRule>
    <cfRule type="expression" dxfId="14" priority="931">
      <formula>T$2="Sun"</formula>
    </cfRule>
    <cfRule type="expression" dxfId="13" priority="932">
      <formula>T$2="Sat"</formula>
    </cfRule>
    <cfRule type="expression" dxfId="12" priority="923">
      <formula>T$3="Sat"</formula>
    </cfRule>
    <cfRule type="expression" dxfId="11" priority="934">
      <formula>T$3="Sun"</formula>
    </cfRule>
    <cfRule type="expression" dxfId="10" priority="935">
      <formula>T$2="Sun"</formula>
    </cfRule>
    <cfRule type="expression" dxfId="9" priority="936">
      <formula>T$2="Sat"</formula>
    </cfRule>
    <cfRule type="expression" dxfId="8" priority="924">
      <formula>T$3="Sun"</formula>
    </cfRule>
    <cfRule type="expression" dxfId="7" priority="922">
      <formula>T$2="Sat"</formula>
    </cfRule>
    <cfRule type="expression" dxfId="6" priority="925">
      <formula>T$2="Sun"</formula>
    </cfRule>
    <cfRule type="expression" dxfId="5" priority="926">
      <formula>T$2="Sat"</formula>
    </cfRule>
    <cfRule type="expression" dxfId="4" priority="917">
      <formula>T$3="Sun"</formula>
    </cfRule>
    <cfRule type="expression" dxfId="3" priority="927">
      <formula>T$3="Sat"</formula>
    </cfRule>
    <cfRule type="expression" dxfId="2" priority="915">
      <formula>T$2="Sat"</formula>
    </cfRule>
    <cfRule type="expression" dxfId="1" priority="933">
      <formula>T$3="Sat"</formula>
    </cfRule>
  </conditionalFormatting>
  <conditionalFormatting sqref="AH7:AI7 AI8:AI13 T9">
    <cfRule type="expression" dxfId="0" priority="937">
      <formula>T$2="Sun"</formula>
    </cfRule>
  </conditionalFormatting>
  <dataValidations count="2">
    <dataValidation type="list" allowBlank="1" showInputMessage="1" showErrorMessage="1" sqref="C4:C20 C22" xr:uid="{00000000-0002-0000-1000-000000000000}">
      <formula1>Designation</formula1>
    </dataValidation>
    <dataValidation type="list" allowBlank="1" showInputMessage="1" showErrorMessage="1" sqref="E4:AI22" xr:uid="{00000000-0002-0000-1000-000001000000}">
      <formula1>"P,A,WO,P1,P2,P3,P4,P5,P6,P7,P8,HD"</formula1>
    </dataValidation>
  </dataValidations>
  <pageMargins left="0.17" right="0.15748031496062992" top="0.6692913385826772" bottom="0.31496062992125984" header="0.31496062992125984" footer="0.31496062992125984"/>
  <pageSetup paperSize="9" scale="60" orientation="landscape" r:id="rId5"/>
  <legacy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Y109"/>
  <sheetViews>
    <sheetView workbookViewId="0">
      <selection activeCell="A12" sqref="A12"/>
    </sheetView>
  </sheetViews>
  <sheetFormatPr defaultRowHeight="15"/>
  <cols>
    <col min="1" max="1" width="10.42578125" bestFit="1" customWidth="1"/>
    <col min="4" max="4" width="10.42578125" customWidth="1"/>
    <col min="5" max="5" width="10.140625" customWidth="1"/>
    <col min="6" max="6" width="10.28515625" customWidth="1"/>
    <col min="7" max="7" width="12.42578125" customWidth="1"/>
    <col min="8" max="10" width="11" customWidth="1"/>
    <col min="11" max="11" width="10.7109375" customWidth="1"/>
    <col min="12" max="12" width="11.140625" customWidth="1"/>
    <col min="13" max="13" width="10.28515625" customWidth="1"/>
    <col min="14" max="14" width="11" customWidth="1"/>
    <col min="15" max="15" width="11.85546875" customWidth="1"/>
    <col min="16" max="16" width="10.42578125" customWidth="1"/>
    <col min="17" max="17" width="13.28515625" customWidth="1"/>
    <col min="18" max="18" width="10.42578125" customWidth="1"/>
    <col min="19" max="19" width="11.7109375" customWidth="1"/>
    <col min="20" max="20" width="11.85546875" customWidth="1"/>
    <col min="21" max="21" width="11.42578125" customWidth="1"/>
    <col min="22" max="22" width="9.85546875" customWidth="1"/>
    <col min="23" max="23" width="12" customWidth="1"/>
    <col min="24" max="24" width="10.42578125" customWidth="1"/>
    <col min="25" max="25" width="11.7109375" customWidth="1"/>
  </cols>
  <sheetData>
    <row r="1" spans="1:25" ht="25.5" customHeight="1">
      <c r="A1" s="457" t="s">
        <v>214</v>
      </c>
      <c r="B1" s="458"/>
      <c r="C1" s="458"/>
      <c r="D1" s="458"/>
      <c r="E1" s="458"/>
      <c r="F1" s="458"/>
      <c r="G1" s="458"/>
      <c r="H1" s="458"/>
      <c r="I1" s="458"/>
      <c r="J1" s="458"/>
      <c r="K1" s="18"/>
      <c r="L1" s="457" t="s">
        <v>213</v>
      </c>
      <c r="M1" s="458"/>
      <c r="N1" s="458"/>
      <c r="O1" s="458"/>
      <c r="P1" s="458"/>
      <c r="Q1" s="458"/>
      <c r="R1" s="458"/>
      <c r="S1" s="458"/>
      <c r="T1" s="458"/>
      <c r="U1" s="458"/>
      <c r="V1" s="458"/>
      <c r="W1" s="458"/>
      <c r="X1" s="458"/>
      <c r="Y1" s="458"/>
    </row>
    <row r="2" spans="1:25">
      <c r="A2" s="454" t="s">
        <v>177</v>
      </c>
      <c r="B2" s="40" t="s">
        <v>204</v>
      </c>
      <c r="C2" s="454" t="s">
        <v>206</v>
      </c>
      <c r="D2" s="454"/>
      <c r="E2" s="454"/>
      <c r="F2" s="454" t="s">
        <v>207</v>
      </c>
      <c r="G2" s="454"/>
      <c r="H2" s="454"/>
      <c r="I2" s="40"/>
      <c r="J2" s="40"/>
      <c r="K2" s="18"/>
      <c r="L2" s="459" t="s">
        <v>208</v>
      </c>
      <c r="M2" s="38" t="s">
        <v>204</v>
      </c>
      <c r="N2" s="454" t="s">
        <v>209</v>
      </c>
      <c r="O2" s="454"/>
      <c r="P2" s="454"/>
      <c r="Q2" s="454" t="s">
        <v>212</v>
      </c>
      <c r="R2" s="40"/>
      <c r="S2" s="40"/>
      <c r="T2" s="455" t="s">
        <v>210</v>
      </c>
      <c r="U2" s="455"/>
      <c r="V2" s="456"/>
      <c r="W2" s="454" t="s">
        <v>212</v>
      </c>
      <c r="X2" s="39"/>
      <c r="Y2" s="39"/>
    </row>
    <row r="3" spans="1:25">
      <c r="A3" s="454"/>
      <c r="B3" s="40"/>
      <c r="C3" s="40" t="s">
        <v>178</v>
      </c>
      <c r="D3" s="40" t="s">
        <v>179</v>
      </c>
      <c r="E3" s="40" t="s">
        <v>205</v>
      </c>
      <c r="F3" s="40" t="s">
        <v>178</v>
      </c>
      <c r="G3" s="40" t="s">
        <v>179</v>
      </c>
      <c r="H3" s="40" t="s">
        <v>205</v>
      </c>
      <c r="I3" s="40" t="s">
        <v>1</v>
      </c>
      <c r="J3" s="40" t="s">
        <v>2</v>
      </c>
      <c r="K3" s="18"/>
      <c r="L3" s="460"/>
      <c r="M3" s="40"/>
      <c r="N3" s="40" t="s">
        <v>178</v>
      </c>
      <c r="O3" s="40" t="s">
        <v>179</v>
      </c>
      <c r="P3" s="40" t="s">
        <v>211</v>
      </c>
      <c r="Q3" s="454"/>
      <c r="R3" s="43" t="s">
        <v>1</v>
      </c>
      <c r="S3" s="40" t="s">
        <v>2</v>
      </c>
      <c r="T3" s="40" t="s">
        <v>178</v>
      </c>
      <c r="U3" s="40" t="s">
        <v>179</v>
      </c>
      <c r="V3" s="40" t="s">
        <v>211</v>
      </c>
      <c r="W3" s="454"/>
      <c r="X3" s="40" t="s">
        <v>1</v>
      </c>
      <c r="Y3" s="40" t="s">
        <v>2</v>
      </c>
    </row>
    <row r="4" spans="1:25">
      <c r="A4" s="31">
        <v>45426</v>
      </c>
      <c r="B4" s="36">
        <v>0</v>
      </c>
      <c r="C4" s="13">
        <v>0</v>
      </c>
      <c r="D4" s="13">
        <v>1</v>
      </c>
      <c r="E4" s="13">
        <v>40</v>
      </c>
      <c r="F4" s="13">
        <v>0</v>
      </c>
      <c r="G4" s="13">
        <v>1</v>
      </c>
      <c r="H4" s="13">
        <v>40</v>
      </c>
      <c r="I4" s="13">
        <v>40</v>
      </c>
      <c r="J4" s="13">
        <f>I4*G4</f>
        <v>40</v>
      </c>
      <c r="K4" s="18"/>
      <c r="L4" s="41">
        <v>45426</v>
      </c>
      <c r="M4" s="42">
        <v>0</v>
      </c>
      <c r="N4" s="32">
        <v>0</v>
      </c>
      <c r="O4" s="32">
        <v>22</v>
      </c>
      <c r="P4" s="32">
        <v>880</v>
      </c>
      <c r="Q4" s="32">
        <f t="shared" ref="Q4:Q9" si="0">O4-N4</f>
        <v>22</v>
      </c>
      <c r="R4" s="44">
        <v>40</v>
      </c>
      <c r="S4" s="32">
        <f>R4*O4</f>
        <v>880</v>
      </c>
      <c r="T4" s="32">
        <v>0</v>
      </c>
      <c r="U4" s="32">
        <v>23</v>
      </c>
      <c r="V4" s="32">
        <v>920</v>
      </c>
      <c r="W4" s="32">
        <f t="shared" ref="W4:W9" si="1">U4-T4</f>
        <v>23</v>
      </c>
      <c r="X4" s="32">
        <v>40</v>
      </c>
      <c r="Y4" s="32">
        <f>X4*W4</f>
        <v>920</v>
      </c>
    </row>
    <row r="5" spans="1:25">
      <c r="A5" s="31">
        <v>45427</v>
      </c>
      <c r="B5" s="36">
        <v>0</v>
      </c>
      <c r="C5" s="13">
        <v>1</v>
      </c>
      <c r="D5" s="13">
        <v>1</v>
      </c>
      <c r="E5" s="13">
        <v>0</v>
      </c>
      <c r="F5" s="13">
        <v>1</v>
      </c>
      <c r="G5" s="13">
        <v>1</v>
      </c>
      <c r="H5" s="13">
        <v>0</v>
      </c>
      <c r="I5" s="13">
        <v>40</v>
      </c>
      <c r="J5" s="13">
        <v>0</v>
      </c>
      <c r="K5" s="18"/>
      <c r="L5" s="41">
        <v>45427</v>
      </c>
      <c r="M5" s="42">
        <v>0</v>
      </c>
      <c r="N5" s="13">
        <v>22</v>
      </c>
      <c r="O5" s="13">
        <v>31</v>
      </c>
      <c r="P5" s="32">
        <v>360</v>
      </c>
      <c r="Q5" s="32">
        <f t="shared" si="0"/>
        <v>9</v>
      </c>
      <c r="R5" s="44">
        <v>40</v>
      </c>
      <c r="S5" s="32">
        <f>R5*Q5</f>
        <v>360</v>
      </c>
      <c r="T5" s="13">
        <v>23</v>
      </c>
      <c r="U5" s="13">
        <v>33</v>
      </c>
      <c r="V5" s="32">
        <v>400</v>
      </c>
      <c r="W5" s="32">
        <f t="shared" si="1"/>
        <v>10</v>
      </c>
      <c r="X5" s="32">
        <v>40</v>
      </c>
      <c r="Y5" s="32">
        <f t="shared" ref="Y5:Y10" si="2">X5*W5</f>
        <v>400</v>
      </c>
    </row>
    <row r="6" spans="1:25">
      <c r="A6" s="31">
        <v>45428</v>
      </c>
      <c r="B6" s="36">
        <v>0</v>
      </c>
      <c r="C6" s="13">
        <v>1</v>
      </c>
      <c r="D6" s="13">
        <v>1</v>
      </c>
      <c r="E6" s="13">
        <v>0</v>
      </c>
      <c r="F6" s="13">
        <v>1</v>
      </c>
      <c r="G6" s="13">
        <v>1</v>
      </c>
      <c r="H6" s="13">
        <v>0</v>
      </c>
      <c r="I6" s="13">
        <v>40</v>
      </c>
      <c r="J6" s="13">
        <v>0</v>
      </c>
      <c r="K6" s="18"/>
      <c r="L6" s="41">
        <v>45428</v>
      </c>
      <c r="M6" s="42">
        <v>0</v>
      </c>
      <c r="N6" s="13">
        <v>31</v>
      </c>
      <c r="O6" s="13">
        <v>40</v>
      </c>
      <c r="P6" s="32">
        <v>360</v>
      </c>
      <c r="Q6" s="32">
        <f t="shared" si="0"/>
        <v>9</v>
      </c>
      <c r="R6" s="44">
        <v>40</v>
      </c>
      <c r="S6" s="32">
        <f>R6*Q6</f>
        <v>360</v>
      </c>
      <c r="T6" s="13">
        <v>33</v>
      </c>
      <c r="U6" s="13">
        <v>42</v>
      </c>
      <c r="V6" s="32">
        <v>360</v>
      </c>
      <c r="W6" s="32">
        <f t="shared" si="1"/>
        <v>9</v>
      </c>
      <c r="X6" s="32">
        <v>40</v>
      </c>
      <c r="Y6" s="32">
        <f t="shared" si="2"/>
        <v>360</v>
      </c>
    </row>
    <row r="7" spans="1:25">
      <c r="A7" s="31">
        <v>45429</v>
      </c>
      <c r="B7" s="36">
        <v>0</v>
      </c>
      <c r="C7" s="13">
        <v>1</v>
      </c>
      <c r="D7" s="13">
        <v>1</v>
      </c>
      <c r="E7" s="13">
        <v>0</v>
      </c>
      <c r="F7" s="13">
        <v>1</v>
      </c>
      <c r="G7" s="13">
        <v>1</v>
      </c>
      <c r="H7" s="13">
        <v>0</v>
      </c>
      <c r="I7" s="13">
        <v>40</v>
      </c>
      <c r="J7" s="13">
        <v>0</v>
      </c>
      <c r="K7" s="18"/>
      <c r="L7" s="41">
        <v>45429</v>
      </c>
      <c r="M7" s="42">
        <v>0</v>
      </c>
      <c r="N7" s="13">
        <v>40</v>
      </c>
      <c r="O7" s="13">
        <v>49</v>
      </c>
      <c r="P7" s="32">
        <v>360</v>
      </c>
      <c r="Q7" s="32">
        <f t="shared" si="0"/>
        <v>9</v>
      </c>
      <c r="R7" s="44">
        <v>40</v>
      </c>
      <c r="S7" s="32">
        <f>R7*Q7</f>
        <v>360</v>
      </c>
      <c r="T7" s="13">
        <v>42</v>
      </c>
      <c r="U7" s="13">
        <v>52</v>
      </c>
      <c r="V7" s="32">
        <v>400</v>
      </c>
      <c r="W7" s="32">
        <f t="shared" si="1"/>
        <v>10</v>
      </c>
      <c r="X7" s="32">
        <v>40</v>
      </c>
      <c r="Y7" s="32">
        <f t="shared" si="2"/>
        <v>400</v>
      </c>
    </row>
    <row r="8" spans="1:25">
      <c r="A8" s="31">
        <v>45430</v>
      </c>
      <c r="B8" s="36">
        <v>0</v>
      </c>
      <c r="C8" s="13">
        <v>1</v>
      </c>
      <c r="D8" s="13">
        <v>1</v>
      </c>
      <c r="E8" s="13">
        <v>0</v>
      </c>
      <c r="F8" s="13">
        <v>1</v>
      </c>
      <c r="G8" s="13">
        <v>1</v>
      </c>
      <c r="H8" s="13">
        <v>0</v>
      </c>
      <c r="I8" s="13">
        <v>40</v>
      </c>
      <c r="J8" s="13">
        <v>0</v>
      </c>
      <c r="K8" s="18"/>
      <c r="L8" s="41">
        <v>45430</v>
      </c>
      <c r="M8" s="42">
        <v>0</v>
      </c>
      <c r="N8" s="13">
        <v>49</v>
      </c>
      <c r="O8" s="13">
        <v>57</v>
      </c>
      <c r="P8" s="32">
        <v>320</v>
      </c>
      <c r="Q8" s="32">
        <f t="shared" si="0"/>
        <v>8</v>
      </c>
      <c r="R8" s="44">
        <v>40</v>
      </c>
      <c r="S8" s="32">
        <f>R8*Q8</f>
        <v>320</v>
      </c>
      <c r="T8" s="13">
        <v>52</v>
      </c>
      <c r="U8" s="13">
        <v>60</v>
      </c>
      <c r="V8" s="32">
        <v>320</v>
      </c>
      <c r="W8" s="32">
        <f t="shared" si="1"/>
        <v>8</v>
      </c>
      <c r="X8" s="32">
        <v>40</v>
      </c>
      <c r="Y8" s="32">
        <f t="shared" si="2"/>
        <v>320</v>
      </c>
    </row>
    <row r="9" spans="1:25">
      <c r="A9" s="31">
        <v>45431</v>
      </c>
      <c r="B9" s="36">
        <v>0</v>
      </c>
      <c r="C9" s="13">
        <v>1</v>
      </c>
      <c r="D9" s="13"/>
      <c r="E9" s="13"/>
      <c r="F9" s="13"/>
      <c r="G9" s="13"/>
      <c r="H9" s="13"/>
      <c r="I9" s="13"/>
      <c r="J9" s="13"/>
      <c r="K9" s="18"/>
      <c r="L9" s="41">
        <v>45431</v>
      </c>
      <c r="M9" s="42">
        <v>0</v>
      </c>
      <c r="N9" s="13">
        <v>57</v>
      </c>
      <c r="O9" s="13"/>
      <c r="P9" s="32">
        <v>-2280</v>
      </c>
      <c r="Q9" s="32">
        <f t="shared" si="0"/>
        <v>-57</v>
      </c>
      <c r="R9" s="44">
        <v>40</v>
      </c>
      <c r="S9" s="32">
        <f>R9*Q9</f>
        <v>-2280</v>
      </c>
      <c r="T9" s="13">
        <v>60</v>
      </c>
      <c r="U9" s="13"/>
      <c r="V9" s="32">
        <v>-2400</v>
      </c>
      <c r="W9" s="32">
        <f t="shared" si="1"/>
        <v>-60</v>
      </c>
      <c r="X9" s="32">
        <v>40</v>
      </c>
      <c r="Y9" s="32">
        <f t="shared" si="2"/>
        <v>-2400</v>
      </c>
    </row>
    <row r="10" spans="1:25">
      <c r="A10" s="13"/>
      <c r="B10" s="36"/>
      <c r="C10" s="13"/>
      <c r="D10" s="13"/>
      <c r="E10" s="13"/>
      <c r="F10" s="13"/>
      <c r="G10" s="13"/>
      <c r="H10" s="13"/>
      <c r="I10" s="13"/>
      <c r="J10" s="13"/>
      <c r="K10" s="18"/>
      <c r="L10" s="13"/>
      <c r="M10" s="13"/>
      <c r="N10" s="13"/>
      <c r="O10" s="13"/>
      <c r="P10" s="13"/>
      <c r="Q10" s="13"/>
      <c r="R10" s="37"/>
      <c r="S10" s="13"/>
      <c r="T10" s="13"/>
      <c r="U10" s="13"/>
      <c r="V10" s="13"/>
      <c r="W10" s="13"/>
      <c r="X10" s="32">
        <v>40</v>
      </c>
      <c r="Y10" s="32">
        <f t="shared" si="2"/>
        <v>0</v>
      </c>
    </row>
    <row r="11" spans="1:25">
      <c r="A11" s="13"/>
      <c r="B11" s="36"/>
      <c r="C11" s="13"/>
      <c r="D11" s="13"/>
      <c r="E11" s="13"/>
      <c r="F11" s="13"/>
      <c r="G11" s="13"/>
      <c r="H11" s="13"/>
      <c r="I11" s="13"/>
      <c r="J11" s="13"/>
      <c r="K11" s="18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8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8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8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8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8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8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8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8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8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8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8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8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8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8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8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8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8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8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8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8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8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8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8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8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8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8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8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8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8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8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8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8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8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8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8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8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8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8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8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8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8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8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8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8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8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8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8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8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8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8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8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8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8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8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8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8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8"/>
      <c r="L107" s="37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8"/>
      <c r="L108" s="37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8"/>
      <c r="L109" s="37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</sheetData>
  <customSheetViews>
    <customSheetView guid="{5E113600-004F-4409-A088-DFECFF9BC96A}" state="hidden">
      <selection activeCell="A12" sqref="A12"/>
      <pageMargins left="0.7" right="0.7" top="0.75" bottom="0.75" header="0.3" footer="0.3"/>
      <pageSetup orientation="portrait" r:id="rId1"/>
    </customSheetView>
    <customSheetView guid="{1F97382E-80B0-473D-874E-BD5E60D01A4B}" state="hidden">
      <selection activeCell="A12" sqref="A12"/>
      <pageMargins left="0.7" right="0.7" top="0.75" bottom="0.75" header="0.3" footer="0.3"/>
      <pageSetup orientation="portrait" r:id="rId2"/>
    </customSheetView>
    <customSheetView guid="{7663FDEA-AE2F-416B-8123-1D493B6639C0}" state="hidden">
      <selection activeCell="A12" sqref="A12"/>
      <pageMargins left="0.7" right="0.7" top="0.75" bottom="0.75" header="0.3" footer="0.3"/>
      <pageSetup orientation="portrait" r:id="rId3"/>
    </customSheetView>
    <customSheetView guid="{C287C8AD-6E2E-4D5F-930B-C18EF9030790}" state="hidden">
      <selection activeCell="A12" sqref="A12"/>
      <pageMargins left="0.7" right="0.7" top="0.75" bottom="0.75" header="0.3" footer="0.3"/>
      <pageSetup orientation="portrait" r:id="rId4"/>
    </customSheetView>
  </customSheetViews>
  <mergeCells count="10">
    <mergeCell ref="N2:P2"/>
    <mergeCell ref="T2:V2"/>
    <mergeCell ref="L1:Y1"/>
    <mergeCell ref="A1:J1"/>
    <mergeCell ref="Q2:Q3"/>
    <mergeCell ref="W2:W3"/>
    <mergeCell ref="A2:A3"/>
    <mergeCell ref="C2:E2"/>
    <mergeCell ref="F2:H2"/>
    <mergeCell ref="L2:L3"/>
  </mergeCell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52532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</vt:i4>
      </vt:variant>
    </vt:vector>
  </HeadingPairs>
  <TitlesOfParts>
    <vt:vector size="20" baseType="lpstr">
      <vt:lpstr>Summary</vt:lpstr>
      <vt:lpstr>Extra Bills</vt:lpstr>
      <vt:lpstr>Inside Meter </vt:lpstr>
      <vt:lpstr>OutSide Meter</vt:lpstr>
      <vt:lpstr>Bisleri_Consu</vt:lpstr>
      <vt:lpstr>Medical_Items</vt:lpstr>
      <vt:lpstr>Stationery</vt:lpstr>
      <vt:lpstr>HK Material</vt:lpstr>
      <vt:lpstr>Food Consu</vt:lpstr>
      <vt:lpstr>Veebha Tea&amp;Coffee</vt:lpstr>
      <vt:lpstr>Sumant Tea&amp;Coffee</vt:lpstr>
      <vt:lpstr>Toner Consu</vt:lpstr>
      <vt:lpstr>Water</vt:lpstr>
      <vt:lpstr>Gallant SG</vt:lpstr>
      <vt:lpstr>OOPL SG </vt:lpstr>
      <vt:lpstr>Imperial HK</vt:lpstr>
      <vt:lpstr>New Meter</vt:lpstr>
      <vt:lpstr>O</vt:lpstr>
      <vt:lpstr>'Imperial HK'!Print_Area</vt:lpstr>
      <vt:lpstr>'Inside Meter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Reception1</dc:creator>
  <cp:lastModifiedBy>Admin</cp:lastModifiedBy>
  <cp:revision>1117</cp:revision>
  <cp:lastPrinted>2025-08-20T07:04:35Z</cp:lastPrinted>
  <dcterms:created xsi:type="dcterms:W3CDTF">2006-09-16T00:00:00Z</dcterms:created>
  <dcterms:modified xsi:type="dcterms:W3CDTF">2026-02-21T09:33:41Z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